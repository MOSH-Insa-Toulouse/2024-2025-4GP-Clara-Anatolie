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nato\OneDrive\Documents\INSA\4A\Capteur\Repositories\2024-2025-4GP-Clara-Anatolie\Banc de tests\"/>
    </mc:Choice>
  </mc:AlternateContent>
  <bookViews>
    <workbookView xWindow="-96" yWindow="0" windowWidth="11712" windowHeight="12336" activeTab="3"/>
  </bookViews>
  <sheets>
    <sheet name="4B tension" sheetId="1" r:id="rId1"/>
    <sheet name="5B tension" sheetId="2" r:id="rId2"/>
    <sheet name="HB tension" sheetId="3" r:id="rId3"/>
    <sheet name="4B compr" sheetId="4" r:id="rId4"/>
    <sheet name="5B compr" sheetId="5" r:id="rId5"/>
    <sheet name="HB compr" sheetId="6" r:id="rId6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8" i="6" l="1"/>
  <c r="F8" i="6" s="1"/>
  <c r="E7" i="6"/>
  <c r="F7" i="6" s="1"/>
  <c r="E6" i="6"/>
  <c r="F6" i="6" s="1"/>
  <c r="E5" i="6"/>
  <c r="F5" i="6" s="1"/>
  <c r="E4" i="6"/>
  <c r="F4" i="6" s="1"/>
  <c r="E3" i="6"/>
  <c r="F3" i="6" s="1"/>
  <c r="E2" i="6"/>
  <c r="F2" i="6" s="1"/>
  <c r="E8" i="5"/>
  <c r="F8" i="5" s="1"/>
  <c r="E7" i="5"/>
  <c r="F7" i="5" s="1"/>
  <c r="E6" i="5"/>
  <c r="F6" i="5" s="1"/>
  <c r="E5" i="5"/>
  <c r="F5" i="5" s="1"/>
  <c r="E4" i="5"/>
  <c r="F4" i="5" s="1"/>
  <c r="E3" i="5"/>
  <c r="F3" i="5" s="1"/>
  <c r="E2" i="5"/>
  <c r="F2" i="5" s="1"/>
  <c r="E8" i="4"/>
  <c r="F8" i="4" s="1"/>
  <c r="E7" i="4"/>
  <c r="F7" i="4" s="1"/>
  <c r="E6" i="4"/>
  <c r="F6" i="4" s="1"/>
  <c r="E5" i="4"/>
  <c r="F5" i="4" s="1"/>
  <c r="E4" i="4"/>
  <c r="F4" i="4" s="1"/>
  <c r="E3" i="4"/>
  <c r="F3" i="4" s="1"/>
  <c r="E2" i="4"/>
  <c r="F2" i="4" s="1"/>
  <c r="E3" i="3"/>
  <c r="F3" i="3" s="1"/>
  <c r="E4" i="3"/>
  <c r="F4" i="3" s="1"/>
  <c r="E5" i="3"/>
  <c r="F5" i="3" s="1"/>
  <c r="E6" i="3"/>
  <c r="F6" i="3" s="1"/>
  <c r="E7" i="3"/>
  <c r="F7" i="3" s="1"/>
  <c r="E2" i="3"/>
  <c r="F2" i="3" s="1"/>
  <c r="F8" i="2"/>
  <c r="F2" i="2"/>
  <c r="E3" i="2"/>
  <c r="F3" i="2" s="1"/>
  <c r="E4" i="2"/>
  <c r="F4" i="2" s="1"/>
  <c r="E5" i="2"/>
  <c r="F5" i="2" s="1"/>
  <c r="E6" i="2"/>
  <c r="F6" i="2" s="1"/>
  <c r="E7" i="2"/>
  <c r="F7" i="2" s="1"/>
  <c r="E8" i="2"/>
  <c r="E2" i="2"/>
  <c r="F6" i="1"/>
  <c r="F7" i="1"/>
  <c r="F8" i="1"/>
  <c r="F2" i="1"/>
  <c r="E3" i="1"/>
  <c r="F3" i="1" s="1"/>
  <c r="E4" i="1"/>
  <c r="F4" i="1" s="1"/>
  <c r="E5" i="1"/>
  <c r="F5" i="1" s="1"/>
  <c r="E6" i="1"/>
  <c r="E7" i="1"/>
  <c r="E8" i="1"/>
  <c r="E2" i="1"/>
</calcChain>
</file>

<file path=xl/sharedStrings.xml><?xml version="1.0" encoding="utf-8"?>
<sst xmlns="http://schemas.openxmlformats.org/spreadsheetml/2006/main" count="43" uniqueCount="10">
  <si>
    <t>|R|/R0</t>
  </si>
  <si>
    <t>Cylindre utilisé (déformation croissante)</t>
  </si>
  <si>
    <t>Déformation associée</t>
  </si>
  <si>
    <t>R mesurée (ohm)</t>
  </si>
  <si>
    <t>Aucun, R0</t>
  </si>
  <si>
    <r>
      <t>|</t>
    </r>
    <r>
      <rPr>
        <sz val="11"/>
        <color theme="1"/>
        <rFont val="Calibri"/>
        <family val="2"/>
      </rPr>
      <t>Δ</t>
    </r>
    <r>
      <rPr>
        <sz val="11"/>
        <color theme="1"/>
        <rFont val="Calibri"/>
        <family val="2"/>
        <scheme val="minor"/>
      </rPr>
      <t>R|/R0</t>
    </r>
  </si>
  <si>
    <t>ΔR</t>
  </si>
  <si>
    <r>
      <t>|</t>
    </r>
    <r>
      <rPr>
        <sz val="11"/>
        <color theme="1"/>
        <rFont val="Calibri"/>
        <family val="2"/>
      </rPr>
      <t>ΔR</t>
    </r>
    <r>
      <rPr>
        <sz val="11"/>
        <color theme="1"/>
        <rFont val="Calibri"/>
        <family val="2"/>
        <scheme val="minor"/>
      </rPr>
      <t>|/R0</t>
    </r>
  </si>
  <si>
    <t>R courbure</t>
  </si>
  <si>
    <t>inf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</si>
</sst>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11" fontId="0" fillId="0" borderId="0" xfId="0" applyNumberFormat="1"/>
    <xf numFmtId="0" fontId="0" fillId="2" borderId="0" xfId="0" applyFill="1"/>
    <xf numFmtId="11" fontId="0" fillId="2" borderId="0" xfId="0" applyNumberFormat="1" applyFill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Relative</a:t>
            </a:r>
            <a:r>
              <a:rPr lang="fr-FR" baseline="0"/>
              <a:t> change in resistance with respect to sensor deformation in tension</a:t>
            </a:r>
            <a:endParaRPr lang="fr-FR"/>
          </a:p>
        </c:rich>
      </c:tx>
      <c:layout>
        <c:manualLayout>
          <c:xMode val="edge"/>
          <c:yMode val="edge"/>
          <c:x val="0.13216666666666665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4B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4.8844508752645233E-2"/>
                  <c:y val="7.3675384875136224E-2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050" baseline="0">
                        <a:solidFill>
                          <a:schemeClr val="accent1">
                            <a:lumMod val="75000"/>
                          </a:schemeClr>
                        </a:solidFill>
                      </a:rPr>
                      <a:t>y = 24,999x </a:t>
                    </a:r>
                    <a:endParaRPr lang="en-US" sz="1050">
                      <a:solidFill>
                        <a:schemeClr val="accent1">
                          <a:lumMod val="75000"/>
                        </a:schemeClr>
                      </a:solidFill>
                    </a:endParaRPr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'4B tension'!$C$3:$C$8</c:f>
              <c:numCache>
                <c:formatCode>0.00E+00</c:formatCode>
                <c:ptCount val="6"/>
                <c:pt idx="0">
                  <c:v>2.1099999999999999E-3</c:v>
                </c:pt>
                <c:pt idx="1">
                  <c:v>2.3800000000000002E-3</c:v>
                </c:pt>
                <c:pt idx="2">
                  <c:v>2.7100000000000002E-3</c:v>
                </c:pt>
                <c:pt idx="3">
                  <c:v>3.1700000000000001E-3</c:v>
                </c:pt>
                <c:pt idx="4">
                  <c:v>3.8E-3</c:v>
                </c:pt>
                <c:pt idx="5">
                  <c:v>4.7499999999999999E-3</c:v>
                </c:pt>
              </c:numCache>
            </c:numRef>
          </c:xVal>
          <c:yVal>
            <c:numRef>
              <c:f>'4B tension'!$F$3:$F$8</c:f>
              <c:numCache>
                <c:formatCode>General</c:formatCode>
                <c:ptCount val="6"/>
                <c:pt idx="0">
                  <c:v>4.7410783196736375E-3</c:v>
                </c:pt>
                <c:pt idx="1">
                  <c:v>8.8206108272997907E-3</c:v>
                </c:pt>
                <c:pt idx="2">
                  <c:v>2.517549340291815E-2</c:v>
                </c:pt>
                <c:pt idx="3">
                  <c:v>4.3772281230475212E-2</c:v>
                </c:pt>
                <c:pt idx="4">
                  <c:v>5.479804476459995E-2</c:v>
                </c:pt>
                <c:pt idx="5">
                  <c:v>6.7661435554412147E-2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657-49E6-A4D0-97B967C39CB2}"/>
            </c:ext>
          </c:extLst>
        </c:ser>
        <c:ser>
          <c:idx val="1"/>
          <c:order val="1"/>
          <c:tx>
            <c:v>5B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2.9851156425959577E-2"/>
                  <c:y val="-6.6043882672560672E-2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fr-FR" sz="1050" baseline="0">
                        <a:solidFill>
                          <a:schemeClr val="accent2"/>
                        </a:solidFill>
                      </a:rPr>
                      <a:t>y = 27,158x </a:t>
                    </a:r>
                    <a:endParaRPr lang="fr-FR" sz="1050">
                      <a:solidFill>
                        <a:schemeClr val="accent2"/>
                      </a:solidFill>
                    </a:endParaRPr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'5B tension'!$C$3:$C$8</c:f>
              <c:numCache>
                <c:formatCode>0.00E+00</c:formatCode>
                <c:ptCount val="6"/>
                <c:pt idx="0">
                  <c:v>2.1099999999999999E-3</c:v>
                </c:pt>
                <c:pt idx="1">
                  <c:v>2.3800000000000002E-3</c:v>
                </c:pt>
                <c:pt idx="2">
                  <c:v>2.7100000000000002E-3</c:v>
                </c:pt>
                <c:pt idx="3">
                  <c:v>3.1700000000000001E-3</c:v>
                </c:pt>
                <c:pt idx="4">
                  <c:v>3.8E-3</c:v>
                </c:pt>
                <c:pt idx="5">
                  <c:v>4.7499999999999999E-3</c:v>
                </c:pt>
              </c:numCache>
            </c:numRef>
          </c:xVal>
          <c:yVal>
            <c:numRef>
              <c:f>'5B tension'!$F$3:$F$8</c:f>
              <c:numCache>
                <c:formatCode>General</c:formatCode>
                <c:ptCount val="6"/>
                <c:pt idx="0">
                  <c:v>5.4196581196581196E-2</c:v>
                </c:pt>
                <c:pt idx="1">
                  <c:v>6.5572649572649577E-2</c:v>
                </c:pt>
                <c:pt idx="2">
                  <c:v>7.4170940170940169E-2</c:v>
                </c:pt>
                <c:pt idx="3">
                  <c:v>8.8888888888888892E-2</c:v>
                </c:pt>
                <c:pt idx="4">
                  <c:v>9.4837606837606836E-2</c:v>
                </c:pt>
                <c:pt idx="5">
                  <c:v>0.13094017094017094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657-49E6-A4D0-97B967C39CB2}"/>
            </c:ext>
          </c:extLst>
        </c:ser>
        <c:ser>
          <c:idx val="2"/>
          <c:order val="2"/>
          <c:tx>
            <c:v>HB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3.1275470908016838E-4"/>
                  <c:y val="-2.9725944344676215E-2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fr-FR" sz="1050" baseline="0"/>
                      <a:t>y = 48,551x </a:t>
                    </a:r>
                    <a:endParaRPr lang="fr-FR" sz="1050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'HB tension'!$C$3:$C$7</c:f>
              <c:numCache>
                <c:formatCode>0.00E+00</c:formatCode>
                <c:ptCount val="5"/>
                <c:pt idx="0">
                  <c:v>2.1099999999999999E-3</c:v>
                </c:pt>
                <c:pt idx="1">
                  <c:v>2.7100000000000002E-3</c:v>
                </c:pt>
                <c:pt idx="2">
                  <c:v>3.1700000000000001E-3</c:v>
                </c:pt>
                <c:pt idx="3">
                  <c:v>3.8E-3</c:v>
                </c:pt>
                <c:pt idx="4">
                  <c:v>4.7499999999999999E-3</c:v>
                </c:pt>
              </c:numCache>
            </c:numRef>
          </c:xVal>
          <c:yVal>
            <c:numRef>
              <c:f>'HB tension'!$F$3:$F$7</c:f>
              <c:numCache>
                <c:formatCode>General</c:formatCode>
                <c:ptCount val="5"/>
                <c:pt idx="0">
                  <c:v>0.12740899357601712</c:v>
                </c:pt>
                <c:pt idx="1">
                  <c:v>0.14860813704496789</c:v>
                </c:pt>
                <c:pt idx="2">
                  <c:v>0.17237687366167023</c:v>
                </c:pt>
                <c:pt idx="3">
                  <c:v>0.19773019271948608</c:v>
                </c:pt>
                <c:pt idx="4">
                  <c:v>0.25567451820128478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657-49E6-A4D0-97B967C39C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5954639"/>
        <c:axId val="419727471"/>
      </c:scatterChart>
      <c:valAx>
        <c:axId val="555954639"/>
        <c:scaling>
          <c:orientation val="minMax"/>
          <c:min val="1.5000000000000005E-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sz="1400" i="1"/>
                  <a:t>Deformation </a:t>
                </a:r>
                <a:r>
                  <a:rPr lang="el-GR" sz="1400" i="1"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rPr>
                  <a:t>ε</a:t>
                </a:r>
                <a:endParaRPr lang="fr-FR" sz="1400" i="1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19727471"/>
        <c:crosses val="autoZero"/>
        <c:crossBetween val="midCat"/>
      </c:valAx>
      <c:valAx>
        <c:axId val="419727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sz="1400" i="1"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rPr>
                  <a:t>ΔR/R0</a:t>
                </a:r>
                <a:endParaRPr lang="fr-FR" sz="1400" i="1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559546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'5B tension'!#REF!</c:f>
            </c:numRef>
          </c:xVal>
          <c:yVal>
            <c:numRef>
              <c:f>'5B tension'!$F$3:$F$7</c:f>
              <c:numCache>
                <c:formatCode>General</c:formatCode>
                <c:ptCount val="5"/>
                <c:pt idx="0">
                  <c:v>5.4196581196581196E-2</c:v>
                </c:pt>
                <c:pt idx="1">
                  <c:v>6.5572649572649577E-2</c:v>
                </c:pt>
                <c:pt idx="2">
                  <c:v>7.4170940170940169E-2</c:v>
                </c:pt>
                <c:pt idx="3">
                  <c:v>8.8888888888888892E-2</c:v>
                </c:pt>
                <c:pt idx="4">
                  <c:v>9.4837606837606836E-2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D5E-4A75-8C3E-22E05CA390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5884143"/>
        <c:axId val="415885103"/>
      </c:scatterChart>
      <c:valAx>
        <c:axId val="4158841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15885103"/>
        <c:crosses val="autoZero"/>
        <c:crossBetween val="midCat"/>
      </c:valAx>
      <c:valAx>
        <c:axId val="415885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158841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'HB tension'!$F$1</c:f>
              <c:strCache>
                <c:ptCount val="1"/>
                <c:pt idx="0">
                  <c:v>|R|/R0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'HB tension'!$C$3:$C$4</c:f>
              <c:numCache>
                <c:formatCode>0.00E+00</c:formatCode>
                <c:ptCount val="2"/>
                <c:pt idx="0">
                  <c:v>2.1099999999999999E-3</c:v>
                </c:pt>
                <c:pt idx="1">
                  <c:v>2.7100000000000002E-3</c:v>
                </c:pt>
              </c:numCache>
            </c:numRef>
          </c:xVal>
          <c:yVal>
            <c:numRef>
              <c:f>'HB tension'!$F$3:$F$6</c:f>
              <c:numCache>
                <c:formatCode>General</c:formatCode>
                <c:ptCount val="4"/>
                <c:pt idx="0">
                  <c:v>0.12740899357601712</c:v>
                </c:pt>
                <c:pt idx="1">
                  <c:v>0.14860813704496789</c:v>
                </c:pt>
                <c:pt idx="2">
                  <c:v>0.17237687366167023</c:v>
                </c:pt>
                <c:pt idx="3">
                  <c:v>0.19773019271948608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974-4B3B-A043-EA1BA83583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8882879"/>
        <c:axId val="408884799"/>
      </c:scatterChart>
      <c:valAx>
        <c:axId val="4088828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08884799"/>
        <c:crosses val="autoZero"/>
        <c:crossBetween val="midCat"/>
      </c:valAx>
      <c:valAx>
        <c:axId val="408884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088828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Relative change in resistance with respect to sensor deformation in compression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11143622805301399"/>
          <c:y val="0.20912026332454603"/>
          <c:w val="0.55107515776351168"/>
          <c:h val="0.66091472950232744"/>
        </c:manualLayout>
      </c:layout>
      <c:scatterChart>
        <c:scatterStyle val="lineMarker"/>
        <c:varyColors val="0"/>
        <c:ser>
          <c:idx val="0"/>
          <c:order val="0"/>
          <c:tx>
            <c:v>4B Compression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22561877553684012"/>
                  <c:y val="-0.10437074725257343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baseline="0">
                        <a:ln>
                          <a:solidFill>
                            <a:schemeClr val="accent1"/>
                          </a:solidFill>
                        </a:ln>
                      </a:rPr>
                      <a:t>y = -11,619x </a:t>
                    </a:r>
                    <a:endParaRPr lang="en-US">
                      <a:ln>
                        <a:solidFill>
                          <a:schemeClr val="accent1"/>
                        </a:solidFill>
                      </a:ln>
                    </a:endParaRPr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('4B compr'!$C$3:$C$4,'4B compr'!$C$6:$C$7)</c:f>
              <c:numCache>
                <c:formatCode>0.00E+00</c:formatCode>
                <c:ptCount val="4"/>
                <c:pt idx="0">
                  <c:v>2.1099999999999999E-3</c:v>
                </c:pt>
                <c:pt idx="1">
                  <c:v>2.3800000000000002E-3</c:v>
                </c:pt>
                <c:pt idx="2">
                  <c:v>3.1700000000000001E-3</c:v>
                </c:pt>
                <c:pt idx="3">
                  <c:v>3.8E-3</c:v>
                </c:pt>
              </c:numCache>
            </c:numRef>
          </c:xVal>
          <c:yVal>
            <c:numRef>
              <c:f>('4B compr'!$F$3:$F$4,'4B compr'!$F$6:$F$7)</c:f>
              <c:numCache>
                <c:formatCode>General</c:formatCode>
                <c:ptCount val="4"/>
                <c:pt idx="0">
                  <c:v>-1.1774877516571287E-2</c:v>
                </c:pt>
                <c:pt idx="1">
                  <c:v>-1.2515953723907942E-2</c:v>
                </c:pt>
                <c:pt idx="2">
                  <c:v>-2.4249660340071637E-2</c:v>
                </c:pt>
                <c:pt idx="3">
                  <c:v>-3.0116513648153487E-2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A89-4B9F-B6B5-36EEC4755D03}"/>
            </c:ext>
          </c:extLst>
        </c:ser>
        <c:ser>
          <c:idx val="1"/>
          <c:order val="1"/>
          <c:tx>
            <c:v>5B Compression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28981662418834997"/>
                  <c:y val="-0.20460260354362236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fr-FR" baseline="0">
                        <a:ln>
                          <a:solidFill>
                            <a:schemeClr val="accent2"/>
                          </a:solidFill>
                        </a:ln>
                      </a:rPr>
                      <a:t>y = -15,749x </a:t>
                    </a:r>
                    <a:endParaRPr lang="fr-FR">
                      <a:ln>
                        <a:solidFill>
                          <a:schemeClr val="accent2"/>
                        </a:solidFill>
                      </a:ln>
                    </a:endParaRPr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'5B compr'!$C$3:$C$8</c:f>
              <c:numCache>
                <c:formatCode>0.00E+00</c:formatCode>
                <c:ptCount val="6"/>
                <c:pt idx="0">
                  <c:v>2.1099999999999999E-3</c:v>
                </c:pt>
                <c:pt idx="1">
                  <c:v>2.3800000000000002E-3</c:v>
                </c:pt>
                <c:pt idx="2">
                  <c:v>2.7100000000000002E-3</c:v>
                </c:pt>
                <c:pt idx="3">
                  <c:v>3.1700000000000001E-3</c:v>
                </c:pt>
                <c:pt idx="4">
                  <c:v>3.8E-3</c:v>
                </c:pt>
                <c:pt idx="5">
                  <c:v>4.7499999999999999E-3</c:v>
                </c:pt>
              </c:numCache>
            </c:numRef>
          </c:xVal>
          <c:yVal>
            <c:numRef>
              <c:f>'5B compr'!$F$3:$F$8</c:f>
              <c:numCache>
                <c:formatCode>General</c:formatCode>
                <c:ptCount val="6"/>
                <c:pt idx="0">
                  <c:v>-7.8586932115859588E-3</c:v>
                </c:pt>
                <c:pt idx="1">
                  <c:v>-1.0740214055834144E-2</c:v>
                </c:pt>
                <c:pt idx="2">
                  <c:v>-2.0657136441883092E-2</c:v>
                </c:pt>
                <c:pt idx="3">
                  <c:v>-2.7767382680937057E-2</c:v>
                </c:pt>
                <c:pt idx="4">
                  <c:v>-3.5008607140184118E-2</c:v>
                </c:pt>
                <c:pt idx="5">
                  <c:v>-4.9453633710051646E-2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A89-4B9F-B6B5-36EEC4755D03}"/>
            </c:ext>
          </c:extLst>
        </c:ser>
        <c:ser>
          <c:idx val="2"/>
          <c:order val="2"/>
          <c:tx>
            <c:v>HB Compression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25657332313370335"/>
                  <c:y val="-0.21531516879296159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fr-FR" baseline="0"/>
                      <a:t>y = -14,491x </a:t>
                    </a:r>
                    <a:endParaRPr lang="fr-FR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'HB compr'!$C$3:$C$8</c:f>
              <c:numCache>
                <c:formatCode>0.00E+00</c:formatCode>
                <c:ptCount val="6"/>
                <c:pt idx="0">
                  <c:v>2.1099999999999999E-3</c:v>
                </c:pt>
                <c:pt idx="1">
                  <c:v>2.3800000000000002E-3</c:v>
                </c:pt>
                <c:pt idx="2">
                  <c:v>2.7100000000000002E-3</c:v>
                </c:pt>
                <c:pt idx="3">
                  <c:v>3.1700000000000001E-3</c:v>
                </c:pt>
                <c:pt idx="4">
                  <c:v>3.8E-3</c:v>
                </c:pt>
                <c:pt idx="5">
                  <c:v>4.7499999999999999E-3</c:v>
                </c:pt>
              </c:numCache>
            </c:numRef>
          </c:xVal>
          <c:yVal>
            <c:numRef>
              <c:f>'HB compr'!$F$3:$F$8</c:f>
              <c:numCache>
                <c:formatCode>General</c:formatCode>
                <c:ptCount val="6"/>
                <c:pt idx="0">
                  <c:v>-1.641025641025641E-2</c:v>
                </c:pt>
                <c:pt idx="1">
                  <c:v>-3.2324786324786324E-2</c:v>
                </c:pt>
                <c:pt idx="2">
                  <c:v>-3.3490598290598292E-2</c:v>
                </c:pt>
                <c:pt idx="3">
                  <c:v>-3.433846153846154E-2</c:v>
                </c:pt>
                <c:pt idx="4">
                  <c:v>-4.0989743589743589E-2</c:v>
                </c:pt>
                <c:pt idx="5">
                  <c:v>-6.2745299145299152E-2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A89-4B9F-B6B5-36EEC4755D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58327520"/>
        <c:axId val="1258316000"/>
      </c:scatterChart>
      <c:valAx>
        <c:axId val="1258327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sz="1400" b="0" i="1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Deformation </a:t>
                </a:r>
                <a:r>
                  <a:rPr lang="el-GR" sz="1400" i="1"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rPr>
                  <a:t>ε</a:t>
                </a:r>
                <a:endParaRPr lang="fr-FR" sz="1400" b="0" i="1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58316000"/>
        <c:crosses val="autoZero"/>
        <c:crossBetween val="midCat"/>
      </c:valAx>
      <c:valAx>
        <c:axId val="1258316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sz="1400" i="1"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rPr>
                  <a:t>ΔR/R0</a:t>
                </a:r>
                <a:endParaRPr lang="fr-FR" sz="1400" b="0" i="1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583275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9.3136701662292209E-2"/>
          <c:y val="0.17171296296296296"/>
          <c:w val="0.62421697287839017"/>
          <c:h val="0.77736111111111106"/>
        </c:manualLayout>
      </c:layout>
      <c:scatterChart>
        <c:scatterStyle val="lineMarker"/>
        <c:varyColors val="0"/>
        <c:ser>
          <c:idx val="0"/>
          <c:order val="0"/>
          <c:tx>
            <c:v>5B Compression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'5B compr'!$C$3:$C$8</c:f>
              <c:numCache>
                <c:formatCode>0.00E+00</c:formatCode>
                <c:ptCount val="6"/>
                <c:pt idx="0">
                  <c:v>2.1099999999999999E-3</c:v>
                </c:pt>
                <c:pt idx="1">
                  <c:v>2.3800000000000002E-3</c:v>
                </c:pt>
                <c:pt idx="2">
                  <c:v>2.7100000000000002E-3</c:v>
                </c:pt>
                <c:pt idx="3">
                  <c:v>3.1700000000000001E-3</c:v>
                </c:pt>
                <c:pt idx="4">
                  <c:v>3.8E-3</c:v>
                </c:pt>
                <c:pt idx="5">
                  <c:v>4.7499999999999999E-3</c:v>
                </c:pt>
              </c:numCache>
            </c:numRef>
          </c:xVal>
          <c:yVal>
            <c:numRef>
              <c:f>'5B compr'!$F$3:$F$8</c:f>
              <c:numCache>
                <c:formatCode>General</c:formatCode>
                <c:ptCount val="6"/>
                <c:pt idx="0">
                  <c:v>-7.8586932115859588E-3</c:v>
                </c:pt>
                <c:pt idx="1">
                  <c:v>-1.0740214055834144E-2</c:v>
                </c:pt>
                <c:pt idx="2">
                  <c:v>-2.0657136441883092E-2</c:v>
                </c:pt>
                <c:pt idx="3">
                  <c:v>-2.7767382680937057E-2</c:v>
                </c:pt>
                <c:pt idx="4">
                  <c:v>-3.5008607140184118E-2</c:v>
                </c:pt>
                <c:pt idx="5">
                  <c:v>-4.9453633710051646E-2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4ED-4BCD-BF47-0450E98CAF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58335200"/>
        <c:axId val="1258349120"/>
      </c:scatterChart>
      <c:valAx>
        <c:axId val="12583352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58349120"/>
        <c:crosses val="autoZero"/>
        <c:crossBetween val="midCat"/>
      </c:valAx>
      <c:valAx>
        <c:axId val="1258349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583352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4818000874890644"/>
          <c:y val="0.46432742782152231"/>
          <c:w val="0.23515332458442695"/>
          <c:h val="0.2245392242636337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HB compression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HB Compression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('HB compr'!$C$3,'HB compr'!$C$4,'HB compr'!$C$6,'HB compr'!$C$8)</c:f>
              <c:numCache>
                <c:formatCode>0.00E+00</c:formatCode>
                <c:ptCount val="4"/>
                <c:pt idx="0">
                  <c:v>2.1099999999999999E-3</c:v>
                </c:pt>
                <c:pt idx="1">
                  <c:v>2.3800000000000002E-3</c:v>
                </c:pt>
                <c:pt idx="2">
                  <c:v>3.1700000000000001E-3</c:v>
                </c:pt>
                <c:pt idx="3">
                  <c:v>4.7499999999999999E-3</c:v>
                </c:pt>
              </c:numCache>
            </c:numRef>
          </c:xVal>
          <c:yVal>
            <c:numRef>
              <c:f>('HB compr'!$F$3,'HB compr'!$F$4,'HB compr'!$F$6,'HB compr'!$F$8)</c:f>
              <c:numCache>
                <c:formatCode>General</c:formatCode>
                <c:ptCount val="4"/>
                <c:pt idx="0">
                  <c:v>-1.641025641025641E-2</c:v>
                </c:pt>
                <c:pt idx="1">
                  <c:v>-3.2324786324786324E-2</c:v>
                </c:pt>
                <c:pt idx="2">
                  <c:v>-3.433846153846154E-2</c:v>
                </c:pt>
                <c:pt idx="3">
                  <c:v>-6.2745299145299152E-2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191-478A-88AC-930C9A0BC7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58352480"/>
        <c:axId val="1258352960"/>
      </c:scatterChart>
      <c:valAx>
        <c:axId val="1258352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58352960"/>
        <c:crosses val="autoZero"/>
        <c:crossBetween val="midCat"/>
      </c:valAx>
      <c:valAx>
        <c:axId val="1258352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58352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2"/>
        <c:delete val="1"/>
      </c:legendEntry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1028700</xdr:colOff>
      <xdr:row>10</xdr:row>
      <xdr:rowOff>76200</xdr:rowOff>
    </xdr:from>
    <xdr:to>
      <xdr:col>5</xdr:col>
      <xdr:colOff>160020</xdr:colOff>
      <xdr:row>24</xdr:row>
      <xdr:rowOff>121920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E65B00E6-E4E9-8086-C2E7-18A61F30A6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396240</xdr:colOff>
      <xdr:row>7</xdr:row>
      <xdr:rowOff>137160</xdr:rowOff>
    </xdr:from>
    <xdr:to>
      <xdr:col>12</xdr:col>
      <xdr:colOff>213360</xdr:colOff>
      <xdr:row>22</xdr:row>
      <xdr:rowOff>137160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B538F2A7-F127-76A5-375B-39D6D27719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1493520</xdr:colOff>
      <xdr:row>11</xdr:row>
      <xdr:rowOff>152400</xdr:rowOff>
    </xdr:from>
    <xdr:to>
      <xdr:col>4</xdr:col>
      <xdr:colOff>640080</xdr:colOff>
      <xdr:row>26</xdr:row>
      <xdr:rowOff>152400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8399149E-DA6C-1B45-91BD-CFB47109EC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659914</xdr:colOff>
      <xdr:row>10</xdr:row>
      <xdr:rowOff>72767</xdr:rowOff>
    </xdr:from>
    <xdr:to>
      <xdr:col>10</xdr:col>
      <xdr:colOff>390648</xdr:colOff>
      <xdr:row>26</xdr:row>
      <xdr:rowOff>67901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344C776E-83D8-239D-A2B7-8F6239D5B0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739140</xdr:colOff>
      <xdr:row>10</xdr:row>
      <xdr:rowOff>34290</xdr:rowOff>
    </xdr:from>
    <xdr:to>
      <xdr:col>8</xdr:col>
      <xdr:colOff>335280</xdr:colOff>
      <xdr:row>25</xdr:row>
      <xdr:rowOff>34290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3ADD7596-63FF-3453-8020-108732AE30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662940</xdr:colOff>
      <xdr:row>10</xdr:row>
      <xdr:rowOff>163830</xdr:rowOff>
    </xdr:from>
    <xdr:to>
      <xdr:col>6</xdr:col>
      <xdr:colOff>762000</xdr:colOff>
      <xdr:row>25</xdr:row>
      <xdr:rowOff>163830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B9896F0C-A3D4-FE4A-E07E-A6EA2286C6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workbookViewId="0">
      <selection activeCell="G21" sqref="G21"/>
    </sheetView>
  </sheetViews>
  <sheetFormatPr baseColWidth="10" defaultRowHeight="14.4" x14ac:dyDescent="0.3"/>
  <cols>
    <col min="1" max="1" width="33.77734375" bestFit="1" customWidth="1"/>
    <col min="2" max="2" width="19" bestFit="1" customWidth="1"/>
    <col min="3" max="3" width="14.77734375" bestFit="1" customWidth="1"/>
  </cols>
  <sheetData>
    <row r="1" spans="1:6" x14ac:dyDescent="0.3">
      <c r="A1" t="s">
        <v>1</v>
      </c>
      <c r="B1" t="s">
        <v>8</v>
      </c>
      <c r="C1" t="s">
        <v>2</v>
      </c>
      <c r="D1" t="s">
        <v>3</v>
      </c>
      <c r="E1" t="s">
        <v>6</v>
      </c>
      <c r="F1" t="s">
        <v>5</v>
      </c>
    </row>
    <row r="2" spans="1:6" x14ac:dyDescent="0.3">
      <c r="A2" t="s">
        <v>4</v>
      </c>
      <c r="B2" t="s">
        <v>9</v>
      </c>
      <c r="C2">
        <v>0</v>
      </c>
      <c r="D2">
        <v>27209</v>
      </c>
      <c r="E2">
        <f t="shared" ref="E2:E8" si="0">D2-$D$2</f>
        <v>0</v>
      </c>
      <c r="F2">
        <f t="shared" ref="F2:F8" si="1">E2/$D$2</f>
        <v>0</v>
      </c>
    </row>
    <row r="3" spans="1:6" x14ac:dyDescent="0.3">
      <c r="A3">
        <v>1</v>
      </c>
      <c r="B3">
        <v>4.4999999999999998E-2</v>
      </c>
      <c r="C3" s="3">
        <v>2.1099999999999999E-3</v>
      </c>
      <c r="D3">
        <v>27338</v>
      </c>
      <c r="E3">
        <f t="shared" si="0"/>
        <v>129</v>
      </c>
      <c r="F3">
        <f t="shared" si="1"/>
        <v>4.7410783196736375E-3</v>
      </c>
    </row>
    <row r="4" spans="1:6" x14ac:dyDescent="0.3">
      <c r="A4">
        <v>2</v>
      </c>
      <c r="B4">
        <v>0.04</v>
      </c>
      <c r="C4" s="3">
        <v>2.3800000000000002E-3</v>
      </c>
      <c r="D4">
        <v>27449</v>
      </c>
      <c r="E4">
        <f t="shared" si="0"/>
        <v>240</v>
      </c>
      <c r="F4">
        <f t="shared" si="1"/>
        <v>8.8206108272997907E-3</v>
      </c>
    </row>
    <row r="5" spans="1:6" x14ac:dyDescent="0.3">
      <c r="A5">
        <v>3</v>
      </c>
      <c r="B5">
        <v>3.5000000000000003E-2</v>
      </c>
      <c r="C5" s="3">
        <v>2.7100000000000002E-3</v>
      </c>
      <c r="D5">
        <v>27894</v>
      </c>
      <c r="E5">
        <f t="shared" si="0"/>
        <v>685</v>
      </c>
      <c r="F5">
        <f t="shared" si="1"/>
        <v>2.517549340291815E-2</v>
      </c>
    </row>
    <row r="6" spans="1:6" x14ac:dyDescent="0.3">
      <c r="A6">
        <v>4</v>
      </c>
      <c r="B6">
        <v>0.03</v>
      </c>
      <c r="C6" s="3">
        <v>3.1700000000000001E-3</v>
      </c>
      <c r="D6">
        <v>28400</v>
      </c>
      <c r="E6">
        <f t="shared" si="0"/>
        <v>1191</v>
      </c>
      <c r="F6">
        <f t="shared" si="1"/>
        <v>4.3772281230475212E-2</v>
      </c>
    </row>
    <row r="7" spans="1:6" x14ac:dyDescent="0.3">
      <c r="A7">
        <v>5</v>
      </c>
      <c r="B7">
        <v>2.5000000000000001E-2</v>
      </c>
      <c r="C7" s="3">
        <v>3.8E-3</v>
      </c>
      <c r="D7">
        <v>28700</v>
      </c>
      <c r="E7">
        <f t="shared" si="0"/>
        <v>1491</v>
      </c>
      <c r="F7">
        <f t="shared" si="1"/>
        <v>5.479804476459995E-2</v>
      </c>
    </row>
    <row r="8" spans="1:6" x14ac:dyDescent="0.3">
      <c r="A8">
        <v>6</v>
      </c>
      <c r="B8">
        <v>0.02</v>
      </c>
      <c r="C8" s="3">
        <v>4.7499999999999999E-3</v>
      </c>
      <c r="D8">
        <v>29050</v>
      </c>
      <c r="E8">
        <f t="shared" si="0"/>
        <v>1841</v>
      </c>
      <c r="F8">
        <f t="shared" si="1"/>
        <v>6.7661435554412147E-2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workbookViewId="0">
      <selection activeCell="D8" sqref="D8"/>
    </sheetView>
  </sheetViews>
  <sheetFormatPr baseColWidth="10" defaultRowHeight="14.4" x14ac:dyDescent="0.3"/>
  <cols>
    <col min="1" max="1" width="33.77734375" bestFit="1" customWidth="1"/>
    <col min="2" max="2" width="19" bestFit="1" customWidth="1"/>
    <col min="3" max="3" width="14.77734375" bestFit="1" customWidth="1"/>
  </cols>
  <sheetData>
    <row r="1" spans="1:6" x14ac:dyDescent="0.3">
      <c r="A1" t="s">
        <v>1</v>
      </c>
      <c r="B1" t="s">
        <v>8</v>
      </c>
      <c r="C1" t="s">
        <v>2</v>
      </c>
      <c r="D1" t="s">
        <v>3</v>
      </c>
      <c r="E1" t="s">
        <v>6</v>
      </c>
      <c r="F1" t="s">
        <v>7</v>
      </c>
    </row>
    <row r="2" spans="1:6" x14ac:dyDescent="0.3">
      <c r="A2" t="s">
        <v>4</v>
      </c>
      <c r="B2">
        <v>1</v>
      </c>
      <c r="C2">
        <v>0</v>
      </c>
      <c r="D2">
        <v>117000</v>
      </c>
      <c r="E2">
        <f t="shared" ref="E2:E8" si="0">D2-$D$2</f>
        <v>0</v>
      </c>
      <c r="F2">
        <f t="shared" ref="F2:F8" si="1">E2/$D$2</f>
        <v>0</v>
      </c>
    </row>
    <row r="3" spans="1:6" x14ac:dyDescent="0.3">
      <c r="A3">
        <v>1</v>
      </c>
      <c r="B3">
        <v>4.4999999999999998E-2</v>
      </c>
      <c r="C3" s="3">
        <v>2.1099999999999999E-3</v>
      </c>
      <c r="D3">
        <v>123341</v>
      </c>
      <c r="E3">
        <f t="shared" si="0"/>
        <v>6341</v>
      </c>
      <c r="F3">
        <f t="shared" si="1"/>
        <v>5.4196581196581196E-2</v>
      </c>
    </row>
    <row r="4" spans="1:6" x14ac:dyDescent="0.3">
      <c r="A4">
        <v>2</v>
      </c>
      <c r="B4">
        <v>0.04</v>
      </c>
      <c r="C4" s="3">
        <v>2.3800000000000002E-3</v>
      </c>
      <c r="D4">
        <v>124672</v>
      </c>
      <c r="E4">
        <f t="shared" si="0"/>
        <v>7672</v>
      </c>
      <c r="F4">
        <f t="shared" si="1"/>
        <v>6.5572649572649577E-2</v>
      </c>
    </row>
    <row r="5" spans="1:6" x14ac:dyDescent="0.3">
      <c r="A5">
        <v>3</v>
      </c>
      <c r="B5">
        <v>3.5000000000000003E-2</v>
      </c>
      <c r="C5" s="3">
        <v>2.7100000000000002E-3</v>
      </c>
      <c r="D5">
        <v>125678</v>
      </c>
      <c r="E5">
        <f t="shared" si="0"/>
        <v>8678</v>
      </c>
      <c r="F5">
        <f t="shared" si="1"/>
        <v>7.4170940170940169E-2</v>
      </c>
    </row>
    <row r="6" spans="1:6" x14ac:dyDescent="0.3">
      <c r="A6">
        <v>4</v>
      </c>
      <c r="B6">
        <v>0.03</v>
      </c>
      <c r="C6" s="3">
        <v>3.1700000000000001E-3</v>
      </c>
      <c r="D6">
        <v>127400</v>
      </c>
      <c r="E6">
        <f t="shared" si="0"/>
        <v>10400</v>
      </c>
      <c r="F6">
        <f t="shared" si="1"/>
        <v>8.8888888888888892E-2</v>
      </c>
    </row>
    <row r="7" spans="1:6" x14ac:dyDescent="0.3">
      <c r="A7">
        <v>5</v>
      </c>
      <c r="B7">
        <v>2.5000000000000001E-2</v>
      </c>
      <c r="C7" s="3">
        <v>3.8E-3</v>
      </c>
      <c r="D7">
        <v>128096</v>
      </c>
      <c r="E7">
        <f t="shared" si="0"/>
        <v>11096</v>
      </c>
      <c r="F7">
        <f t="shared" si="1"/>
        <v>9.4837606837606836E-2</v>
      </c>
    </row>
    <row r="8" spans="1:6" x14ac:dyDescent="0.3">
      <c r="A8">
        <v>6</v>
      </c>
      <c r="B8">
        <v>0.02</v>
      </c>
      <c r="C8" s="3">
        <v>4.7499999999999999E-3</v>
      </c>
      <c r="D8">
        <v>132320</v>
      </c>
      <c r="E8">
        <f t="shared" si="0"/>
        <v>15320</v>
      </c>
      <c r="F8">
        <f t="shared" si="1"/>
        <v>0.13094017094017094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topLeftCell="B1" workbookViewId="0">
      <selection activeCell="I19" sqref="I19"/>
    </sheetView>
  </sheetViews>
  <sheetFormatPr baseColWidth="10" defaultRowHeight="14.4" x14ac:dyDescent="0.3"/>
  <cols>
    <col min="1" max="1" width="33.77734375" bestFit="1" customWidth="1"/>
    <col min="2" max="2" width="19" bestFit="1" customWidth="1"/>
    <col min="3" max="3" width="14.77734375" bestFit="1" customWidth="1"/>
  </cols>
  <sheetData>
    <row r="1" spans="1:6" x14ac:dyDescent="0.3">
      <c r="A1" t="s">
        <v>1</v>
      </c>
      <c r="C1" t="s">
        <v>2</v>
      </c>
      <c r="D1" t="s">
        <v>3</v>
      </c>
      <c r="E1" s="2" t="s">
        <v>6</v>
      </c>
      <c r="F1" t="s">
        <v>0</v>
      </c>
    </row>
    <row r="2" spans="1:6" x14ac:dyDescent="0.3">
      <c r="A2" t="s">
        <v>4</v>
      </c>
      <c r="B2">
        <v>1</v>
      </c>
      <c r="C2">
        <v>0</v>
      </c>
      <c r="D2">
        <v>186800</v>
      </c>
      <c r="E2">
        <f t="shared" ref="E2:E7" si="0">D2-$D$2</f>
        <v>0</v>
      </c>
      <c r="F2">
        <f t="shared" ref="F2:F7" si="1">E2/$D$2</f>
        <v>0</v>
      </c>
    </row>
    <row r="3" spans="1:6" x14ac:dyDescent="0.3">
      <c r="A3">
        <v>1</v>
      </c>
      <c r="B3">
        <v>4.4999999999999998E-2</v>
      </c>
      <c r="C3" s="3">
        <v>2.1099999999999999E-3</v>
      </c>
      <c r="D3">
        <v>210600</v>
      </c>
      <c r="E3">
        <f t="shared" si="0"/>
        <v>23800</v>
      </c>
      <c r="F3">
        <f t="shared" si="1"/>
        <v>0.12740899357601712</v>
      </c>
    </row>
    <row r="4" spans="1:6" x14ac:dyDescent="0.3">
      <c r="A4">
        <v>3</v>
      </c>
      <c r="B4">
        <v>3.5000000000000003E-2</v>
      </c>
      <c r="C4" s="3">
        <v>2.7100000000000002E-3</v>
      </c>
      <c r="D4">
        <v>214560</v>
      </c>
      <c r="E4">
        <f t="shared" si="0"/>
        <v>27760</v>
      </c>
      <c r="F4">
        <f t="shared" si="1"/>
        <v>0.14860813704496789</v>
      </c>
    </row>
    <row r="5" spans="1:6" x14ac:dyDescent="0.3">
      <c r="A5">
        <v>4</v>
      </c>
      <c r="B5">
        <v>0.03</v>
      </c>
      <c r="C5" s="3">
        <v>3.1700000000000001E-3</v>
      </c>
      <c r="D5">
        <v>219000</v>
      </c>
      <c r="E5">
        <f t="shared" si="0"/>
        <v>32200</v>
      </c>
      <c r="F5">
        <f t="shared" si="1"/>
        <v>0.17237687366167023</v>
      </c>
    </row>
    <row r="6" spans="1:6" x14ac:dyDescent="0.3">
      <c r="A6">
        <v>5</v>
      </c>
      <c r="B6">
        <v>2.5000000000000001E-2</v>
      </c>
      <c r="C6" s="3">
        <v>3.8E-3</v>
      </c>
      <c r="D6">
        <v>223736</v>
      </c>
      <c r="E6">
        <f t="shared" si="0"/>
        <v>36936</v>
      </c>
      <c r="F6">
        <f t="shared" si="1"/>
        <v>0.19773019271948608</v>
      </c>
    </row>
    <row r="7" spans="1:6" x14ac:dyDescent="0.3">
      <c r="A7" s="1">
        <v>6</v>
      </c>
      <c r="B7">
        <v>0.02</v>
      </c>
      <c r="C7" s="3">
        <v>4.7499999999999999E-3</v>
      </c>
      <c r="D7" s="1">
        <v>234560</v>
      </c>
      <c r="E7">
        <f t="shared" si="0"/>
        <v>47760</v>
      </c>
      <c r="F7">
        <f t="shared" si="1"/>
        <v>0.25567451820128478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tabSelected="1" topLeftCell="B7" zoomScale="113" workbookViewId="0">
      <selection activeCell="I29" sqref="I29:I30"/>
    </sheetView>
  </sheetViews>
  <sheetFormatPr baseColWidth="10" defaultRowHeight="14.4" x14ac:dyDescent="0.3"/>
  <cols>
    <col min="1" max="1" width="33.77734375" bestFit="1" customWidth="1"/>
    <col min="4" max="4" width="14.77734375" bestFit="1" customWidth="1"/>
  </cols>
  <sheetData>
    <row r="1" spans="1:6" x14ac:dyDescent="0.3">
      <c r="A1" t="s">
        <v>1</v>
      </c>
      <c r="B1" t="s">
        <v>8</v>
      </c>
      <c r="C1" t="s">
        <v>2</v>
      </c>
      <c r="D1" t="s">
        <v>3</v>
      </c>
      <c r="E1" t="s">
        <v>6</v>
      </c>
      <c r="F1" t="s">
        <v>5</v>
      </c>
    </row>
    <row r="2" spans="1:6" x14ac:dyDescent="0.3">
      <c r="A2" t="s">
        <v>4</v>
      </c>
      <c r="B2" t="s">
        <v>9</v>
      </c>
      <c r="C2">
        <v>0</v>
      </c>
      <c r="D2">
        <v>48578</v>
      </c>
      <c r="E2">
        <f t="shared" ref="E2:E8" si="0">D2-$D$2</f>
        <v>0</v>
      </c>
      <c r="F2">
        <f t="shared" ref="F2:F8" si="1">E2/$D$2</f>
        <v>0</v>
      </c>
    </row>
    <row r="3" spans="1:6" x14ac:dyDescent="0.3">
      <c r="A3">
        <v>1</v>
      </c>
      <c r="B3">
        <v>-4.4999999999999998E-2</v>
      </c>
      <c r="C3" s="3">
        <v>2.1099999999999999E-3</v>
      </c>
      <c r="D3">
        <v>48006</v>
      </c>
      <c r="E3">
        <f t="shared" si="0"/>
        <v>-572</v>
      </c>
      <c r="F3">
        <f t="shared" si="1"/>
        <v>-1.1774877516571287E-2</v>
      </c>
    </row>
    <row r="4" spans="1:6" x14ac:dyDescent="0.3">
      <c r="A4">
        <v>2</v>
      </c>
      <c r="B4">
        <v>-0.04</v>
      </c>
      <c r="C4" s="3">
        <v>2.3800000000000002E-3</v>
      </c>
      <c r="D4">
        <v>47970</v>
      </c>
      <c r="E4">
        <f t="shared" si="0"/>
        <v>-608</v>
      </c>
      <c r="F4">
        <f t="shared" si="1"/>
        <v>-1.2515953723907942E-2</v>
      </c>
    </row>
    <row r="5" spans="1:6" x14ac:dyDescent="0.3">
      <c r="A5" s="4">
        <v>3</v>
      </c>
      <c r="B5" s="4">
        <v>-3.5000000000000003E-2</v>
      </c>
      <c r="C5" s="5">
        <v>2.7100000000000002E-3</v>
      </c>
      <c r="D5" s="4">
        <v>47269</v>
      </c>
      <c r="E5" s="4">
        <f t="shared" si="0"/>
        <v>-1309</v>
      </c>
      <c r="F5" s="4">
        <f t="shared" si="1"/>
        <v>-2.6946354316768908E-2</v>
      </c>
    </row>
    <row r="6" spans="1:6" x14ac:dyDescent="0.3">
      <c r="A6">
        <v>4</v>
      </c>
      <c r="B6">
        <v>-0.03</v>
      </c>
      <c r="C6" s="3">
        <v>3.1700000000000001E-3</v>
      </c>
      <c r="D6">
        <v>47400</v>
      </c>
      <c r="E6">
        <f t="shared" si="0"/>
        <v>-1178</v>
      </c>
      <c r="F6">
        <f t="shared" si="1"/>
        <v>-2.4249660340071637E-2</v>
      </c>
    </row>
    <row r="7" spans="1:6" x14ac:dyDescent="0.3">
      <c r="A7">
        <v>5</v>
      </c>
      <c r="B7">
        <v>-2.5000000000000001E-2</v>
      </c>
      <c r="C7" s="3">
        <v>3.8E-3</v>
      </c>
      <c r="D7">
        <v>47115</v>
      </c>
      <c r="E7">
        <f t="shared" si="0"/>
        <v>-1463</v>
      </c>
      <c r="F7">
        <f t="shared" si="1"/>
        <v>-3.0116513648153487E-2</v>
      </c>
    </row>
    <row r="8" spans="1:6" x14ac:dyDescent="0.3">
      <c r="A8" s="4">
        <v>6</v>
      </c>
      <c r="B8" s="4">
        <v>-0.02</v>
      </c>
      <c r="C8" s="5">
        <v>4.7499999999999999E-3</v>
      </c>
      <c r="D8" s="4">
        <v>48387</v>
      </c>
      <c r="E8" s="4">
        <f t="shared" si="0"/>
        <v>-191</v>
      </c>
      <c r="F8" s="4">
        <f t="shared" si="1"/>
        <v>-3.9318209889250277E-3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workbookViewId="0">
      <selection activeCell="J9" sqref="J9"/>
    </sheetView>
  </sheetViews>
  <sheetFormatPr baseColWidth="10" defaultRowHeight="14.4" x14ac:dyDescent="0.3"/>
  <cols>
    <col min="1" max="1" width="33.77734375" bestFit="1" customWidth="1"/>
    <col min="4" max="4" width="14.77734375" bestFit="1" customWidth="1"/>
  </cols>
  <sheetData>
    <row r="1" spans="1:6" x14ac:dyDescent="0.3">
      <c r="A1" t="s">
        <v>1</v>
      </c>
      <c r="B1" t="s">
        <v>8</v>
      </c>
      <c r="C1" t="s">
        <v>2</v>
      </c>
      <c r="D1" t="s">
        <v>3</v>
      </c>
      <c r="E1" t="s">
        <v>6</v>
      </c>
      <c r="F1" t="s">
        <v>7</v>
      </c>
    </row>
    <row r="2" spans="1:6" x14ac:dyDescent="0.3">
      <c r="A2" t="s">
        <v>4</v>
      </c>
      <c r="B2">
        <v>1</v>
      </c>
      <c r="C2">
        <v>0</v>
      </c>
      <c r="D2">
        <v>53444</v>
      </c>
      <c r="E2">
        <f t="shared" ref="E2:E8" si="0">D2-$D$2</f>
        <v>0</v>
      </c>
      <c r="F2">
        <f t="shared" ref="F2:F8" si="1">E2/$D$2</f>
        <v>0</v>
      </c>
    </row>
    <row r="3" spans="1:6" x14ac:dyDescent="0.3">
      <c r="A3">
        <v>1</v>
      </c>
      <c r="B3">
        <v>4.4999999999999998E-2</v>
      </c>
      <c r="C3" s="3">
        <v>2.1099999999999999E-3</v>
      </c>
      <c r="D3">
        <v>53024</v>
      </c>
      <c r="E3">
        <f t="shared" si="0"/>
        <v>-420</v>
      </c>
      <c r="F3">
        <f t="shared" si="1"/>
        <v>-7.8586932115859588E-3</v>
      </c>
    </row>
    <row r="4" spans="1:6" x14ac:dyDescent="0.3">
      <c r="A4">
        <v>2</v>
      </c>
      <c r="B4">
        <v>0.04</v>
      </c>
      <c r="C4" s="3">
        <v>2.3800000000000002E-3</v>
      </c>
      <c r="D4">
        <v>52870</v>
      </c>
      <c r="E4">
        <f t="shared" si="0"/>
        <v>-574</v>
      </c>
      <c r="F4">
        <f t="shared" si="1"/>
        <v>-1.0740214055834144E-2</v>
      </c>
    </row>
    <row r="5" spans="1:6" x14ac:dyDescent="0.3">
      <c r="A5">
        <v>3</v>
      </c>
      <c r="B5">
        <v>3.5000000000000003E-2</v>
      </c>
      <c r="C5" s="3">
        <v>2.7100000000000002E-3</v>
      </c>
      <c r="D5">
        <v>52340</v>
      </c>
      <c r="E5">
        <f t="shared" si="0"/>
        <v>-1104</v>
      </c>
      <c r="F5">
        <f t="shared" si="1"/>
        <v>-2.0657136441883092E-2</v>
      </c>
    </row>
    <row r="6" spans="1:6" x14ac:dyDescent="0.3">
      <c r="A6">
        <v>4</v>
      </c>
      <c r="B6">
        <v>0.03</v>
      </c>
      <c r="C6" s="3">
        <v>3.1700000000000001E-3</v>
      </c>
      <c r="D6">
        <v>51960</v>
      </c>
      <c r="E6">
        <f t="shared" si="0"/>
        <v>-1484</v>
      </c>
      <c r="F6">
        <f t="shared" si="1"/>
        <v>-2.7767382680937057E-2</v>
      </c>
    </row>
    <row r="7" spans="1:6" x14ac:dyDescent="0.3">
      <c r="A7">
        <v>5</v>
      </c>
      <c r="B7">
        <v>2.5000000000000001E-2</v>
      </c>
      <c r="C7" s="3">
        <v>3.8E-3</v>
      </c>
      <c r="D7">
        <v>51573</v>
      </c>
      <c r="E7">
        <f t="shared" si="0"/>
        <v>-1871</v>
      </c>
      <c r="F7">
        <f t="shared" si="1"/>
        <v>-3.5008607140184118E-2</v>
      </c>
    </row>
    <row r="8" spans="1:6" x14ac:dyDescent="0.3">
      <c r="A8">
        <v>6</v>
      </c>
      <c r="B8">
        <v>0.02</v>
      </c>
      <c r="C8" s="3">
        <v>4.7499999999999999E-3</v>
      </c>
      <c r="D8">
        <v>50801</v>
      </c>
      <c r="E8">
        <f t="shared" si="0"/>
        <v>-2643</v>
      </c>
      <c r="F8">
        <f t="shared" si="1"/>
        <v>-4.9453633710051646E-2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workbookViewId="0">
      <selection activeCell="A13" sqref="A13"/>
    </sheetView>
  </sheetViews>
  <sheetFormatPr baseColWidth="10" defaultRowHeight="14.4" x14ac:dyDescent="0.3"/>
  <cols>
    <col min="1" max="1" width="33.77734375" bestFit="1" customWidth="1"/>
    <col min="3" max="3" width="19" bestFit="1" customWidth="1"/>
  </cols>
  <sheetData>
    <row r="1" spans="1:6" x14ac:dyDescent="0.3">
      <c r="A1" t="s">
        <v>1</v>
      </c>
      <c r="B1" t="s">
        <v>8</v>
      </c>
      <c r="C1" t="s">
        <v>2</v>
      </c>
      <c r="D1" t="s">
        <v>3</v>
      </c>
      <c r="E1" s="2" t="s">
        <v>6</v>
      </c>
      <c r="F1" t="s">
        <v>0</v>
      </c>
    </row>
    <row r="2" spans="1:6" x14ac:dyDescent="0.3">
      <c r="A2" t="s">
        <v>4</v>
      </c>
      <c r="B2">
        <v>1</v>
      </c>
      <c r="C2">
        <v>0</v>
      </c>
      <c r="D2">
        <v>585000</v>
      </c>
      <c r="E2">
        <f t="shared" ref="E2:E8" si="0">D2-$D$2</f>
        <v>0</v>
      </c>
      <c r="F2">
        <f t="shared" ref="F2:F8" si="1">E2/$D$2</f>
        <v>0</v>
      </c>
    </row>
    <row r="3" spans="1:6" x14ac:dyDescent="0.3">
      <c r="A3">
        <v>1</v>
      </c>
      <c r="B3">
        <v>4.4999999999999998E-2</v>
      </c>
      <c r="C3" s="3">
        <v>2.1099999999999999E-3</v>
      </c>
      <c r="D3">
        <v>575400</v>
      </c>
      <c r="E3">
        <f t="shared" si="0"/>
        <v>-9600</v>
      </c>
      <c r="F3">
        <f t="shared" si="1"/>
        <v>-1.641025641025641E-2</v>
      </c>
    </row>
    <row r="4" spans="1:6" x14ac:dyDescent="0.3">
      <c r="A4">
        <v>2</v>
      </c>
      <c r="B4">
        <v>0.04</v>
      </c>
      <c r="C4" s="3">
        <v>2.3800000000000002E-3</v>
      </c>
      <c r="D4">
        <v>566090</v>
      </c>
      <c r="E4">
        <f t="shared" si="0"/>
        <v>-18910</v>
      </c>
      <c r="F4">
        <f t="shared" si="1"/>
        <v>-3.2324786324786324E-2</v>
      </c>
    </row>
    <row r="5" spans="1:6" x14ac:dyDescent="0.3">
      <c r="A5" s="4">
        <v>3</v>
      </c>
      <c r="B5" s="4">
        <v>3.5000000000000003E-2</v>
      </c>
      <c r="C5" s="5">
        <v>2.7100000000000002E-3</v>
      </c>
      <c r="D5" s="4">
        <v>565408</v>
      </c>
      <c r="E5" s="4">
        <f t="shared" si="0"/>
        <v>-19592</v>
      </c>
      <c r="F5" s="4">
        <f t="shared" si="1"/>
        <v>-3.3490598290598292E-2</v>
      </c>
    </row>
    <row r="6" spans="1:6" x14ac:dyDescent="0.3">
      <c r="A6">
        <v>4</v>
      </c>
      <c r="B6">
        <v>0.03</v>
      </c>
      <c r="C6" s="3">
        <v>3.1700000000000001E-3</v>
      </c>
      <c r="D6">
        <v>564912</v>
      </c>
      <c r="E6">
        <f t="shared" si="0"/>
        <v>-20088</v>
      </c>
      <c r="F6">
        <f t="shared" si="1"/>
        <v>-3.433846153846154E-2</v>
      </c>
    </row>
    <row r="7" spans="1:6" x14ac:dyDescent="0.3">
      <c r="A7" s="6">
        <v>5</v>
      </c>
      <c r="B7" s="4">
        <v>2.5000000000000001E-2</v>
      </c>
      <c r="C7" s="5">
        <v>3.8E-3</v>
      </c>
      <c r="D7" s="6">
        <v>561021</v>
      </c>
      <c r="E7" s="4">
        <f t="shared" si="0"/>
        <v>-23979</v>
      </c>
      <c r="F7" s="4">
        <f t="shared" si="1"/>
        <v>-4.0989743589743589E-2</v>
      </c>
    </row>
    <row r="8" spans="1:6" x14ac:dyDescent="0.3">
      <c r="A8">
        <v>6</v>
      </c>
      <c r="B8">
        <v>0.02</v>
      </c>
      <c r="C8" s="3">
        <v>4.7499999999999999E-3</v>
      </c>
      <c r="D8">
        <v>548294</v>
      </c>
      <c r="E8">
        <f t="shared" si="0"/>
        <v>-36706</v>
      </c>
      <c r="F8">
        <f t="shared" si="1"/>
        <v>-6.2745299145299152E-2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4B tension</vt:lpstr>
      <vt:lpstr>5B tension</vt:lpstr>
      <vt:lpstr>HB tension</vt:lpstr>
      <vt:lpstr>4B compr</vt:lpstr>
      <vt:lpstr>5B compr</vt:lpstr>
      <vt:lpstr>HB compr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Clara jeandenans</dc:creator>
  <cp:lastModifiedBy>anato</cp:lastModifiedBy>
  <dcterms:created xsi:type="dcterms:W3CDTF">2025-05-06T20:48:41Z</dcterms:created>
  <dcterms:modified xsi:type="dcterms:W3CDTF">2025-05-21T09:34:16Z</dcterms:modified>
</cp:coreProperties>
</file>