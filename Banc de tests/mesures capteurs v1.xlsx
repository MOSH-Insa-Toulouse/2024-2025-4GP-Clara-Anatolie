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50671fe9a2caa0f/Documents/INSA/4A/Capteurs/2024-2025-4GP-Clara-Anatolie/Banc de tests/"/>
    </mc:Choice>
  </mc:AlternateContent>
  <xr:revisionPtr revIDLastSave="0" documentId="8_{B77437E2-7200-472B-8142-1DEDDEB09CF6}" xr6:coauthVersionLast="47" xr6:coauthVersionMax="47" xr10:uidLastSave="{00000000-0000-0000-0000-000000000000}"/>
  <bookViews>
    <workbookView xWindow="-108" yWindow="-108" windowWidth="23256" windowHeight="13176" xr2:uid="{EB6AD448-40F3-403B-81CE-D21654A49612}"/>
  </bookViews>
  <sheets>
    <sheet name="4B" sheetId="1" r:id="rId1"/>
    <sheet name="5B" sheetId="2" r:id="rId2"/>
    <sheet name="HB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3" l="1"/>
  <c r="E4" i="3"/>
  <c r="E5" i="3"/>
  <c r="E6" i="3"/>
  <c r="E7" i="3"/>
  <c r="E2" i="3"/>
  <c r="D3" i="3"/>
  <c r="D4" i="3"/>
  <c r="D5" i="3"/>
  <c r="D6" i="3"/>
  <c r="D7" i="3"/>
  <c r="D2" i="3"/>
  <c r="E3" i="2"/>
  <c r="E4" i="2"/>
  <c r="E5" i="2"/>
  <c r="E6" i="2"/>
  <c r="E7" i="2"/>
  <c r="E8" i="2"/>
  <c r="E2" i="2"/>
  <c r="D3" i="2"/>
  <c r="D4" i="2"/>
  <c r="D5" i="2"/>
  <c r="D6" i="2"/>
  <c r="D7" i="2"/>
  <c r="D8" i="2"/>
  <c r="D2" i="2"/>
  <c r="E3" i="1"/>
  <c r="E4" i="1"/>
  <c r="E5" i="1"/>
  <c r="E6" i="1"/>
  <c r="E7" i="1"/>
  <c r="E8" i="1"/>
  <c r="E2" i="1"/>
  <c r="D3" i="1"/>
  <c r="D4" i="1"/>
  <c r="D5" i="1"/>
  <c r="D6" i="1"/>
  <c r="D7" i="1"/>
  <c r="D8" i="1"/>
  <c r="D2" i="1"/>
</calcChain>
</file>

<file path=xl/sharedStrings.xml><?xml version="1.0" encoding="utf-8"?>
<sst xmlns="http://schemas.openxmlformats.org/spreadsheetml/2006/main" count="18" uniqueCount="8">
  <si>
    <t>|R|/R0</t>
  </si>
  <si>
    <t>Cylindre utilisé (déformation croissante)</t>
  </si>
  <si>
    <t>Déformation associée</t>
  </si>
  <si>
    <t>R mesurée (ohm)</t>
  </si>
  <si>
    <t>Aucun, R0</t>
  </si>
  <si>
    <r>
      <t>|</t>
    </r>
    <r>
      <rPr>
        <sz val="11"/>
        <color theme="1"/>
        <rFont val="Calibri"/>
        <family val="2"/>
      </rPr>
      <t>Δ</t>
    </r>
    <r>
      <rPr>
        <sz val="11"/>
        <color theme="1"/>
        <rFont val="Calibri"/>
        <family val="2"/>
        <scheme val="minor"/>
      </rPr>
      <t>R|/R0</t>
    </r>
  </si>
  <si>
    <t>ΔR</t>
  </si>
  <si>
    <r>
      <t>|</t>
    </r>
    <r>
      <rPr>
        <sz val="11"/>
        <color theme="1"/>
        <rFont val="Calibri"/>
        <family val="2"/>
      </rPr>
      <t>ΔR</t>
    </r>
    <r>
      <rPr>
        <sz val="11"/>
        <color theme="1"/>
        <rFont val="Calibri"/>
        <family val="2"/>
        <scheme val="minor"/>
      </rPr>
      <t>|/R0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</si>
</sst>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Relative</a:t>
            </a:r>
            <a:r>
              <a:rPr lang="fr-FR" baseline="0"/>
              <a:t> change in resistance with respect to sensor deformation in relaxation</a:t>
            </a:r>
            <a:endParaRPr lang="fr-FR"/>
          </a:p>
        </c:rich>
      </c:tx>
      <c:layout>
        <c:manualLayout>
          <c:xMode val="edge"/>
          <c:yMode val="edge"/>
          <c:x val="0.13216666666666665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4B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'4B'!$B$3:$B$8</c:f>
              <c:numCache>
                <c:formatCode>General</c:formatCode>
                <c:ptCount val="6"/>
                <c:pt idx="0">
                  <c:v>4.0000000000000001E-3</c:v>
                </c:pt>
                <c:pt idx="1">
                  <c:v>5.1000000000000004E-3</c:v>
                </c:pt>
                <c:pt idx="2">
                  <c:v>6.3E-3</c:v>
                </c:pt>
                <c:pt idx="3">
                  <c:v>7.4999999999999997E-3</c:v>
                </c:pt>
                <c:pt idx="4">
                  <c:v>8.6999999999999994E-3</c:v>
                </c:pt>
                <c:pt idx="5">
                  <c:v>0.01</c:v>
                </c:pt>
              </c:numCache>
            </c:numRef>
          </c:xVal>
          <c:yVal>
            <c:numRef>
              <c:f>'4B'!$E$3:$E$8</c:f>
              <c:numCache>
                <c:formatCode>General</c:formatCode>
                <c:ptCount val="6"/>
                <c:pt idx="0">
                  <c:v>4.7410783196736375E-3</c:v>
                </c:pt>
                <c:pt idx="1">
                  <c:v>8.8206108272997907E-3</c:v>
                </c:pt>
                <c:pt idx="2">
                  <c:v>2.517549340291815E-2</c:v>
                </c:pt>
                <c:pt idx="3">
                  <c:v>4.3772281230475212E-2</c:v>
                </c:pt>
                <c:pt idx="4">
                  <c:v>5.479804476459995E-2</c:v>
                </c:pt>
                <c:pt idx="5">
                  <c:v>6.7661435554412147E-2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57-49E6-A4D0-97B967C39CB2}"/>
            </c:ext>
          </c:extLst>
        </c:ser>
        <c:ser>
          <c:idx val="1"/>
          <c:order val="1"/>
          <c:tx>
            <c:v>5B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'5B'!$B$3:$B$8</c:f>
              <c:numCache>
                <c:formatCode>General</c:formatCode>
                <c:ptCount val="6"/>
                <c:pt idx="0">
                  <c:v>4.0000000000000001E-3</c:v>
                </c:pt>
                <c:pt idx="1">
                  <c:v>5.1000000000000004E-3</c:v>
                </c:pt>
                <c:pt idx="2">
                  <c:v>6.3E-3</c:v>
                </c:pt>
                <c:pt idx="3">
                  <c:v>7.4999999999999997E-3</c:v>
                </c:pt>
                <c:pt idx="4">
                  <c:v>8.6999999999999994E-3</c:v>
                </c:pt>
                <c:pt idx="5">
                  <c:v>0.01</c:v>
                </c:pt>
              </c:numCache>
            </c:numRef>
          </c:xVal>
          <c:yVal>
            <c:numRef>
              <c:f>'5B'!$E$3:$E$8</c:f>
              <c:numCache>
                <c:formatCode>General</c:formatCode>
                <c:ptCount val="6"/>
                <c:pt idx="0">
                  <c:v>5.4196581196581196E-2</c:v>
                </c:pt>
                <c:pt idx="1">
                  <c:v>6.5572649572649577E-2</c:v>
                </c:pt>
                <c:pt idx="2">
                  <c:v>7.4170940170940169E-2</c:v>
                </c:pt>
                <c:pt idx="3">
                  <c:v>8.8888888888888892E-2</c:v>
                </c:pt>
                <c:pt idx="4">
                  <c:v>9.4837606837606836E-2</c:v>
                </c:pt>
                <c:pt idx="5">
                  <c:v>0.13094017094017094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657-49E6-A4D0-97B967C39CB2}"/>
            </c:ext>
          </c:extLst>
        </c:ser>
        <c:ser>
          <c:idx val="2"/>
          <c:order val="2"/>
          <c:tx>
            <c:v>HB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HB!$B$3:$B$6</c:f>
              <c:numCache>
                <c:formatCode>General</c:formatCode>
                <c:ptCount val="4"/>
                <c:pt idx="0">
                  <c:v>4.0000000000000001E-3</c:v>
                </c:pt>
                <c:pt idx="1">
                  <c:v>6.3E-3</c:v>
                </c:pt>
                <c:pt idx="2">
                  <c:v>7.4999999999999997E-3</c:v>
                </c:pt>
                <c:pt idx="3">
                  <c:v>8.6999999999999994E-3</c:v>
                </c:pt>
              </c:numCache>
            </c:numRef>
          </c:xVal>
          <c:yVal>
            <c:numRef>
              <c:f>HB!$E$3:$E$7</c:f>
              <c:numCache>
                <c:formatCode>General</c:formatCode>
                <c:ptCount val="5"/>
                <c:pt idx="0">
                  <c:v>0.12740899357601712</c:v>
                </c:pt>
                <c:pt idx="1">
                  <c:v>0.14860813704496789</c:v>
                </c:pt>
                <c:pt idx="2">
                  <c:v>0.17237687366167023</c:v>
                </c:pt>
                <c:pt idx="3">
                  <c:v>0.19773019271948608</c:v>
                </c:pt>
                <c:pt idx="4">
                  <c:v>0.25567451820128478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657-49E6-A4D0-97B967C39C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5954639"/>
        <c:axId val="419727471"/>
      </c:scatterChart>
      <c:valAx>
        <c:axId val="555954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400" i="1"/>
                  <a:t>Deformation </a:t>
                </a:r>
                <a:r>
                  <a:rPr lang="el-GR" sz="1400" i="1"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rPr>
                  <a:t>ε</a:t>
                </a:r>
                <a:endParaRPr lang="fr-FR" sz="1400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19727471"/>
        <c:crosses val="autoZero"/>
        <c:crossBetween val="midCat"/>
      </c:valAx>
      <c:valAx>
        <c:axId val="41972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400" i="1"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rPr>
                  <a:t>ΔR/R0</a:t>
                </a:r>
                <a:endParaRPr lang="fr-FR" sz="1400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55954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'5B'!$B$3:$B$7</c:f>
              <c:numCache>
                <c:formatCode>General</c:formatCode>
                <c:ptCount val="5"/>
                <c:pt idx="0">
                  <c:v>4.0000000000000001E-3</c:v>
                </c:pt>
                <c:pt idx="1">
                  <c:v>5.1000000000000004E-3</c:v>
                </c:pt>
                <c:pt idx="2">
                  <c:v>6.3E-3</c:v>
                </c:pt>
                <c:pt idx="3">
                  <c:v>7.4999999999999997E-3</c:v>
                </c:pt>
                <c:pt idx="4">
                  <c:v>8.6999999999999994E-3</c:v>
                </c:pt>
              </c:numCache>
            </c:numRef>
          </c:xVal>
          <c:yVal>
            <c:numRef>
              <c:f>'5B'!$E$3:$E$7</c:f>
              <c:numCache>
                <c:formatCode>General</c:formatCode>
                <c:ptCount val="5"/>
                <c:pt idx="0">
                  <c:v>5.4196581196581196E-2</c:v>
                </c:pt>
                <c:pt idx="1">
                  <c:v>6.5572649572649577E-2</c:v>
                </c:pt>
                <c:pt idx="2">
                  <c:v>7.4170940170940169E-2</c:v>
                </c:pt>
                <c:pt idx="3">
                  <c:v>8.8888888888888892E-2</c:v>
                </c:pt>
                <c:pt idx="4">
                  <c:v>9.4837606837606836E-2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5E-4A75-8C3E-22E05CA390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884143"/>
        <c:axId val="415885103"/>
      </c:scatterChart>
      <c:valAx>
        <c:axId val="4158841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15885103"/>
        <c:crosses val="autoZero"/>
        <c:crossBetween val="midCat"/>
      </c:valAx>
      <c:valAx>
        <c:axId val="415885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158841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HB!$E$1</c:f>
              <c:strCache>
                <c:ptCount val="1"/>
                <c:pt idx="0">
                  <c:v>|R|/R0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HB!$B$3:$B$5</c:f>
              <c:numCache>
                <c:formatCode>General</c:formatCode>
                <c:ptCount val="3"/>
                <c:pt idx="0">
                  <c:v>4.0000000000000001E-3</c:v>
                </c:pt>
                <c:pt idx="1">
                  <c:v>6.3E-3</c:v>
                </c:pt>
                <c:pt idx="2">
                  <c:v>7.4999999999999997E-3</c:v>
                </c:pt>
              </c:numCache>
            </c:numRef>
          </c:xVal>
          <c:yVal>
            <c:numRef>
              <c:f>HB!$E$3:$E$6</c:f>
              <c:numCache>
                <c:formatCode>General</c:formatCode>
                <c:ptCount val="4"/>
                <c:pt idx="0">
                  <c:v>0.12740899357601712</c:v>
                </c:pt>
                <c:pt idx="1">
                  <c:v>0.14860813704496789</c:v>
                </c:pt>
                <c:pt idx="2">
                  <c:v>0.17237687366167023</c:v>
                </c:pt>
                <c:pt idx="3">
                  <c:v>0.19773019271948608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74-4B3B-A043-EA1BA8358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8882879"/>
        <c:axId val="408884799"/>
      </c:scatterChart>
      <c:valAx>
        <c:axId val="408882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08884799"/>
        <c:crosses val="autoZero"/>
        <c:crossBetween val="midCat"/>
      </c:valAx>
      <c:valAx>
        <c:axId val="408884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088828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1028700</xdr:colOff>
      <xdr:row>10</xdr:row>
      <xdr:rowOff>76200</xdr:rowOff>
    </xdr:from>
    <xdr:to>
      <xdr:col>5</xdr:col>
      <xdr:colOff>114300</xdr:colOff>
      <xdr:row>25</xdr:row>
      <xdr:rowOff>76200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65B00E6-E4E9-8086-C2E7-18A61F30A6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396240</xdr:colOff>
      <xdr:row>7</xdr:row>
      <xdr:rowOff>137160</xdr:rowOff>
    </xdr:from>
    <xdr:to>
      <xdr:col>12</xdr:col>
      <xdr:colOff>213360</xdr:colOff>
      <xdr:row>22</xdr:row>
      <xdr:rowOff>137160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B538F2A7-F127-76A5-375B-39D6D27719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1493520</xdr:colOff>
      <xdr:row>11</xdr:row>
      <xdr:rowOff>152400</xdr:rowOff>
    </xdr:from>
    <xdr:to>
      <xdr:col>4</xdr:col>
      <xdr:colOff>640080</xdr:colOff>
      <xdr:row>26</xdr:row>
      <xdr:rowOff>152400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8399149E-DA6C-1B45-91BD-CFB47109E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92F5E-7161-4D89-87DD-CF750AB5055C}">
  <dimension ref="A1:E8"/>
  <sheetViews>
    <sheetView tabSelected="1" workbookViewId="0">
      <selection activeCell="G18" sqref="G18"/>
    </sheetView>
  </sheetViews>
  <sheetFormatPr baseColWidth="10" defaultRowHeight="14.4" x14ac:dyDescent="0.3"/>
  <cols>
    <col min="1" max="1" width="33.77734375" bestFit="1" customWidth="1"/>
    <col min="2" max="2" width="19" bestFit="1" customWidth="1"/>
    <col min="3" max="3" width="14.77734375" bestFit="1" customWidth="1"/>
  </cols>
  <sheetData>
    <row r="1" spans="1:5" x14ac:dyDescent="0.3">
      <c r="A1" t="s">
        <v>1</v>
      </c>
      <c r="B1" t="s">
        <v>2</v>
      </c>
      <c r="C1" t="s">
        <v>3</v>
      </c>
      <c r="D1" t="s">
        <v>6</v>
      </c>
      <c r="E1" t="s">
        <v>5</v>
      </c>
    </row>
    <row r="2" spans="1:5" x14ac:dyDescent="0.3">
      <c r="A2" t="s">
        <v>4</v>
      </c>
      <c r="B2">
        <v>0</v>
      </c>
      <c r="C2">
        <v>27209</v>
      </c>
      <c r="D2">
        <f>C2-$C$2</f>
        <v>0</v>
      </c>
      <c r="E2">
        <f>D2/$C$2</f>
        <v>0</v>
      </c>
    </row>
    <row r="3" spans="1:5" x14ac:dyDescent="0.3">
      <c r="A3">
        <v>1</v>
      </c>
      <c r="B3">
        <v>4.0000000000000001E-3</v>
      </c>
      <c r="C3">
        <v>27338</v>
      </c>
      <c r="D3">
        <f t="shared" ref="D3:D8" si="0">C3-$C$2</f>
        <v>129</v>
      </c>
      <c r="E3">
        <f t="shared" ref="E3:E8" si="1">D3/$C$2</f>
        <v>4.7410783196736375E-3</v>
      </c>
    </row>
    <row r="4" spans="1:5" x14ac:dyDescent="0.3">
      <c r="A4">
        <v>2</v>
      </c>
      <c r="B4">
        <v>5.1000000000000004E-3</v>
      </c>
      <c r="C4">
        <v>27449</v>
      </c>
      <c r="D4">
        <f t="shared" si="0"/>
        <v>240</v>
      </c>
      <c r="E4">
        <f t="shared" si="1"/>
        <v>8.8206108272997907E-3</v>
      </c>
    </row>
    <row r="5" spans="1:5" x14ac:dyDescent="0.3">
      <c r="A5">
        <v>3</v>
      </c>
      <c r="B5">
        <v>6.3E-3</v>
      </c>
      <c r="C5">
        <v>27894</v>
      </c>
      <c r="D5">
        <f t="shared" si="0"/>
        <v>685</v>
      </c>
      <c r="E5">
        <f t="shared" si="1"/>
        <v>2.517549340291815E-2</v>
      </c>
    </row>
    <row r="6" spans="1:5" x14ac:dyDescent="0.3">
      <c r="A6" s="3">
        <v>4</v>
      </c>
      <c r="B6" s="3">
        <v>7.4999999999999997E-3</v>
      </c>
      <c r="C6" s="3">
        <v>28400</v>
      </c>
      <c r="D6">
        <f t="shared" si="0"/>
        <v>1191</v>
      </c>
      <c r="E6">
        <f t="shared" si="1"/>
        <v>4.3772281230475212E-2</v>
      </c>
    </row>
    <row r="7" spans="1:5" x14ac:dyDescent="0.3">
      <c r="A7">
        <v>5</v>
      </c>
      <c r="B7">
        <v>8.6999999999999994E-3</v>
      </c>
      <c r="C7">
        <v>28700</v>
      </c>
      <c r="D7">
        <f t="shared" si="0"/>
        <v>1491</v>
      </c>
      <c r="E7">
        <f t="shared" si="1"/>
        <v>5.479804476459995E-2</v>
      </c>
    </row>
    <row r="8" spans="1:5" x14ac:dyDescent="0.3">
      <c r="A8">
        <v>6</v>
      </c>
      <c r="B8">
        <v>0.01</v>
      </c>
      <c r="C8">
        <v>29050</v>
      </c>
      <c r="D8">
        <f t="shared" si="0"/>
        <v>1841</v>
      </c>
      <c r="E8">
        <f t="shared" si="1"/>
        <v>6.7661435554412147E-2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3BCE9-64D8-4C93-9C27-0CB4AD1314AB}">
  <dimension ref="A1:E8"/>
  <sheetViews>
    <sheetView workbookViewId="0">
      <selection activeCell="B6" sqref="B6"/>
    </sheetView>
  </sheetViews>
  <sheetFormatPr baseColWidth="10" defaultRowHeight="14.4" x14ac:dyDescent="0.3"/>
  <cols>
    <col min="1" max="1" width="33.77734375" bestFit="1" customWidth="1"/>
    <col min="2" max="2" width="19" bestFit="1" customWidth="1"/>
    <col min="3" max="3" width="14.77734375" bestFit="1" customWidth="1"/>
  </cols>
  <sheetData>
    <row r="1" spans="1:5" x14ac:dyDescent="0.3">
      <c r="A1" t="s">
        <v>1</v>
      </c>
      <c r="B1" t="s">
        <v>2</v>
      </c>
      <c r="C1" t="s">
        <v>3</v>
      </c>
      <c r="D1" t="s">
        <v>6</v>
      </c>
      <c r="E1" t="s">
        <v>7</v>
      </c>
    </row>
    <row r="2" spans="1:5" x14ac:dyDescent="0.3">
      <c r="A2" t="s">
        <v>4</v>
      </c>
      <c r="B2">
        <v>0</v>
      </c>
      <c r="C2">
        <v>117000</v>
      </c>
      <c r="D2">
        <f>C2-$C$2</f>
        <v>0</v>
      </c>
      <c r="E2">
        <f>D2/$C$2</f>
        <v>0</v>
      </c>
    </row>
    <row r="3" spans="1:5" x14ac:dyDescent="0.3">
      <c r="A3">
        <v>1</v>
      </c>
      <c r="B3">
        <v>4.0000000000000001E-3</v>
      </c>
      <c r="C3">
        <v>123341</v>
      </c>
      <c r="D3">
        <f t="shared" ref="D3:D8" si="0">C3-$C$2</f>
        <v>6341</v>
      </c>
      <c r="E3">
        <f t="shared" ref="E3:E8" si="1">D3/$C$2</f>
        <v>5.4196581196581196E-2</v>
      </c>
    </row>
    <row r="4" spans="1:5" x14ac:dyDescent="0.3">
      <c r="A4">
        <v>2</v>
      </c>
      <c r="B4">
        <v>5.1000000000000004E-3</v>
      </c>
      <c r="C4">
        <v>124672</v>
      </c>
      <c r="D4">
        <f t="shared" si="0"/>
        <v>7672</v>
      </c>
      <c r="E4">
        <f t="shared" si="1"/>
        <v>6.5572649572649577E-2</v>
      </c>
    </row>
    <row r="5" spans="1:5" x14ac:dyDescent="0.3">
      <c r="A5">
        <v>3</v>
      </c>
      <c r="B5">
        <v>6.3E-3</v>
      </c>
      <c r="C5">
        <v>125678</v>
      </c>
      <c r="D5">
        <f t="shared" si="0"/>
        <v>8678</v>
      </c>
      <c r="E5">
        <f t="shared" si="1"/>
        <v>7.4170940170940169E-2</v>
      </c>
    </row>
    <row r="6" spans="1:5" x14ac:dyDescent="0.3">
      <c r="A6">
        <v>4</v>
      </c>
      <c r="B6" s="3">
        <v>7.4999999999999997E-3</v>
      </c>
      <c r="C6">
        <v>127400</v>
      </c>
      <c r="D6">
        <f t="shared" si="0"/>
        <v>10400</v>
      </c>
      <c r="E6">
        <f t="shared" si="1"/>
        <v>8.8888888888888892E-2</v>
      </c>
    </row>
    <row r="7" spans="1:5" x14ac:dyDescent="0.3">
      <c r="A7">
        <v>5</v>
      </c>
      <c r="B7">
        <v>8.6999999999999994E-3</v>
      </c>
      <c r="C7">
        <v>128096</v>
      </c>
      <c r="D7">
        <f t="shared" si="0"/>
        <v>11096</v>
      </c>
      <c r="E7">
        <f t="shared" si="1"/>
        <v>9.4837606837606836E-2</v>
      </c>
    </row>
    <row r="8" spans="1:5" x14ac:dyDescent="0.3">
      <c r="A8">
        <v>6</v>
      </c>
      <c r="B8">
        <v>0.01</v>
      </c>
      <c r="C8">
        <v>132320</v>
      </c>
      <c r="D8">
        <f t="shared" si="0"/>
        <v>15320</v>
      </c>
      <c r="E8">
        <f t="shared" si="1"/>
        <v>0.13094017094017094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F125B-5851-4C8E-A3AF-C4DCB05BA689}">
  <dimension ref="A1:E7"/>
  <sheetViews>
    <sheetView workbookViewId="0">
      <selection activeCell="B5" sqref="B5"/>
    </sheetView>
  </sheetViews>
  <sheetFormatPr baseColWidth="10" defaultRowHeight="14.4" x14ac:dyDescent="0.3"/>
  <cols>
    <col min="1" max="1" width="33.77734375" bestFit="1" customWidth="1"/>
    <col min="2" max="2" width="19" bestFit="1" customWidth="1"/>
    <col min="3" max="3" width="14.77734375" bestFit="1" customWidth="1"/>
  </cols>
  <sheetData>
    <row r="1" spans="1:5" x14ac:dyDescent="0.3">
      <c r="A1" t="s">
        <v>1</v>
      </c>
      <c r="B1" t="s">
        <v>2</v>
      </c>
      <c r="C1" t="s">
        <v>3</v>
      </c>
      <c r="D1" s="2" t="s">
        <v>6</v>
      </c>
      <c r="E1" t="s">
        <v>0</v>
      </c>
    </row>
    <row r="2" spans="1:5" x14ac:dyDescent="0.3">
      <c r="A2" t="s">
        <v>4</v>
      </c>
      <c r="B2">
        <v>0</v>
      </c>
      <c r="C2">
        <v>186800</v>
      </c>
      <c r="D2">
        <f>C2-$C$2</f>
        <v>0</v>
      </c>
      <c r="E2">
        <f>D2/$C$2</f>
        <v>0</v>
      </c>
    </row>
    <row r="3" spans="1:5" x14ac:dyDescent="0.3">
      <c r="A3">
        <v>1</v>
      </c>
      <c r="B3">
        <v>4.0000000000000001E-3</v>
      </c>
      <c r="C3">
        <v>210600</v>
      </c>
      <c r="D3">
        <f t="shared" ref="D3:D7" si="0">C3-$C$2</f>
        <v>23800</v>
      </c>
      <c r="E3">
        <f t="shared" ref="E3:E7" si="1">D3/$C$2</f>
        <v>0.12740899357601712</v>
      </c>
    </row>
    <row r="4" spans="1:5" x14ac:dyDescent="0.3">
      <c r="A4">
        <v>3</v>
      </c>
      <c r="B4">
        <v>6.3E-3</v>
      </c>
      <c r="C4">
        <v>214560</v>
      </c>
      <c r="D4">
        <f t="shared" si="0"/>
        <v>27760</v>
      </c>
      <c r="E4">
        <f t="shared" si="1"/>
        <v>0.14860813704496789</v>
      </c>
    </row>
    <row r="5" spans="1:5" x14ac:dyDescent="0.3">
      <c r="A5">
        <v>4</v>
      </c>
      <c r="B5">
        <v>7.4999999999999997E-3</v>
      </c>
      <c r="C5">
        <v>219000</v>
      </c>
      <c r="D5">
        <f t="shared" si="0"/>
        <v>32200</v>
      </c>
      <c r="E5">
        <f t="shared" si="1"/>
        <v>0.17237687366167023</v>
      </c>
    </row>
    <row r="6" spans="1:5" x14ac:dyDescent="0.3">
      <c r="A6">
        <v>5</v>
      </c>
      <c r="B6">
        <v>8.6999999999999994E-3</v>
      </c>
      <c r="C6">
        <v>223736</v>
      </c>
      <c r="D6">
        <f t="shared" si="0"/>
        <v>36936</v>
      </c>
      <c r="E6">
        <f t="shared" si="1"/>
        <v>0.19773019271948608</v>
      </c>
    </row>
    <row r="7" spans="1:5" x14ac:dyDescent="0.3">
      <c r="A7" s="1">
        <v>6</v>
      </c>
      <c r="B7">
        <v>0.01</v>
      </c>
      <c r="C7" s="1">
        <v>234560</v>
      </c>
      <c r="D7">
        <f t="shared" si="0"/>
        <v>47760</v>
      </c>
      <c r="E7">
        <f t="shared" si="1"/>
        <v>0.25567451820128478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4B</vt:lpstr>
      <vt:lpstr>5B</vt:lpstr>
      <vt:lpstr>HB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jeandenans</dc:creator>
  <cp:lastModifiedBy>Clara jeandenans</cp:lastModifiedBy>
  <dcterms:created xsi:type="dcterms:W3CDTF">2025-05-06T20:48:41Z</dcterms:created>
  <dcterms:modified xsi:type="dcterms:W3CDTF">2025-05-08T14:44:37Z</dcterms:modified>
</cp:coreProperties>
</file>