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0671fe9a2caa0f/Documents/INSA/4A/Capteurs/2024-2025-4GP-Clara-Anatolie/Banc de tests/"/>
    </mc:Choice>
  </mc:AlternateContent>
  <xr:revisionPtr revIDLastSave="1" documentId="8_{B77437E2-7200-472B-8142-1DEDDEB09CF6}" xr6:coauthVersionLast="47" xr6:coauthVersionMax="47" xr10:uidLastSave="{E291884B-2DD2-493C-A60D-628ED393D5BC}"/>
  <bookViews>
    <workbookView xWindow="-96" yWindow="0" windowWidth="11712" windowHeight="12336" activeTab="1" xr2:uid="{EB6AD448-40F3-403B-81CE-D21654A49612}"/>
  </bookViews>
  <sheets>
    <sheet name="4B tension" sheetId="1" r:id="rId1"/>
    <sheet name="5B tension" sheetId="2" r:id="rId2"/>
    <sheet name="HB tension" sheetId="3" r:id="rId3"/>
    <sheet name="4B compr" sheetId="4" r:id="rId4"/>
    <sheet name="5B compr" sheetId="5" r:id="rId5"/>
    <sheet name="HB compr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6" l="1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E2" i="4"/>
  <c r="F2" i="4" s="1"/>
  <c r="E3" i="3"/>
  <c r="F3" i="3" s="1"/>
  <c r="E4" i="3"/>
  <c r="F4" i="3" s="1"/>
  <c r="E5" i="3"/>
  <c r="F5" i="3" s="1"/>
  <c r="E6" i="3"/>
  <c r="F6" i="3" s="1"/>
  <c r="E7" i="3"/>
  <c r="F7" i="3" s="1"/>
  <c r="E2" i="3"/>
  <c r="F2" i="3" s="1"/>
  <c r="F8" i="2"/>
  <c r="F2" i="2"/>
  <c r="E3" i="2"/>
  <c r="F3" i="2" s="1"/>
  <c r="E4" i="2"/>
  <c r="F4" i="2" s="1"/>
  <c r="E5" i="2"/>
  <c r="F5" i="2" s="1"/>
  <c r="E6" i="2"/>
  <c r="F6" i="2" s="1"/>
  <c r="E7" i="2"/>
  <c r="F7" i="2" s="1"/>
  <c r="E8" i="2"/>
  <c r="E2" i="2"/>
  <c r="F6" i="1"/>
  <c r="F7" i="1"/>
  <c r="F8" i="1"/>
  <c r="F2" i="1"/>
  <c r="E3" i="1"/>
  <c r="F3" i="1" s="1"/>
  <c r="E4" i="1"/>
  <c r="F4" i="1" s="1"/>
  <c r="E5" i="1"/>
  <c r="F5" i="1" s="1"/>
  <c r="E6" i="1"/>
  <c r="E7" i="1"/>
  <c r="E8" i="1"/>
  <c r="E2" i="1"/>
</calcChain>
</file>

<file path=xl/sharedStrings.xml><?xml version="1.0" encoding="utf-8"?>
<sst xmlns="http://schemas.openxmlformats.org/spreadsheetml/2006/main" count="43" uniqueCount="10">
  <si>
    <t>|R|/R0</t>
  </si>
  <si>
    <t>Cylindre utilisé (déformation croissante)</t>
  </si>
  <si>
    <t>Déformation associée</t>
  </si>
  <si>
    <t>R mesurée (ohm)</t>
  </si>
  <si>
    <t>Aucun, R0</t>
  </si>
  <si>
    <r>
      <t>|</t>
    </r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R|/R0</t>
    </r>
  </si>
  <si>
    <t>ΔR</t>
  </si>
  <si>
    <r>
      <t>|</t>
    </r>
    <r>
      <rPr>
        <sz val="11"/>
        <color theme="1"/>
        <rFont val="Calibri"/>
        <family val="2"/>
      </rPr>
      <t>ΔR</t>
    </r>
    <r>
      <rPr>
        <sz val="11"/>
        <color theme="1"/>
        <rFont val="Calibri"/>
        <family val="2"/>
        <scheme val="minor"/>
      </rPr>
      <t>|/R0</t>
    </r>
  </si>
  <si>
    <t>R courbure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</si>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</sst>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Relative</a:t>
            </a:r>
            <a:r>
              <a:rPr lang="fr-FR" baseline="0"/>
              <a:t> change in resistance with respect to sensor deformation in tension</a:t>
            </a:r>
            <a:endParaRPr lang="fr-FR"/>
          </a:p>
        </c:rich>
      </c:tx>
      <c:layout>
        <c:manualLayout>
          <c:xMode val="edge"/>
          <c:yMode val="edge"/>
          <c:x val="0.13216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'4B tension'!$C$3:$C$8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'4B tension'!$F$3:$F$8</c:f>
              <c:numCache>
                <c:formatCode>General</c:formatCode>
                <c:ptCount val="6"/>
                <c:pt idx="0">
                  <c:v>4.7410783196736375E-3</c:v>
                </c:pt>
                <c:pt idx="1">
                  <c:v>8.8206108272997907E-3</c:v>
                </c:pt>
                <c:pt idx="2">
                  <c:v>2.517549340291815E-2</c:v>
                </c:pt>
                <c:pt idx="3">
                  <c:v>4.3772281230475212E-2</c:v>
                </c:pt>
                <c:pt idx="4">
                  <c:v>5.479804476459995E-2</c:v>
                </c:pt>
                <c:pt idx="5">
                  <c:v>6.7661435554412147E-2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7-49E6-A4D0-97B967C39CB2}"/>
            </c:ext>
          </c:extLst>
        </c:ser>
        <c:ser>
          <c:idx val="1"/>
          <c:order val="1"/>
          <c:tx>
            <c:v>5B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'5B tension'!$C$3:$C$8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tension'!$F$3:$F$8</c:f>
              <c:numCache>
                <c:formatCode>General</c:formatCode>
                <c:ptCount val="6"/>
                <c:pt idx="0">
                  <c:v>5.4196581196581196E-2</c:v>
                </c:pt>
                <c:pt idx="1">
                  <c:v>6.5572649572649577E-2</c:v>
                </c:pt>
                <c:pt idx="2">
                  <c:v>7.4170940170940169E-2</c:v>
                </c:pt>
                <c:pt idx="3">
                  <c:v>8.8888888888888892E-2</c:v>
                </c:pt>
                <c:pt idx="4">
                  <c:v>9.4837606837606836E-2</c:v>
                </c:pt>
                <c:pt idx="5">
                  <c:v>0.13094017094017094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57-49E6-A4D0-97B967C39CB2}"/>
            </c:ext>
          </c:extLst>
        </c:ser>
        <c:ser>
          <c:idx val="2"/>
          <c:order val="2"/>
          <c:tx>
            <c:v>HB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'HB tension'!$C$3:$C$7</c:f>
              <c:numCache>
                <c:formatCode>0.00E+00</c:formatCode>
                <c:ptCount val="5"/>
                <c:pt idx="0">
                  <c:v>2.1099999999999999E-3</c:v>
                </c:pt>
                <c:pt idx="1">
                  <c:v>2.7100000000000002E-3</c:v>
                </c:pt>
                <c:pt idx="2">
                  <c:v>3.1700000000000001E-3</c:v>
                </c:pt>
                <c:pt idx="3">
                  <c:v>3.8E-3</c:v>
                </c:pt>
                <c:pt idx="4">
                  <c:v>4.7499999999999999E-3</c:v>
                </c:pt>
              </c:numCache>
            </c:numRef>
          </c:xVal>
          <c:yVal>
            <c:numRef>
              <c:f>'HB tension'!$F$3:$F$7</c:f>
              <c:numCache>
                <c:formatCode>General</c:formatCode>
                <c:ptCount val="5"/>
                <c:pt idx="0">
                  <c:v>0.12740899357601712</c:v>
                </c:pt>
                <c:pt idx="1">
                  <c:v>0.14860813704496789</c:v>
                </c:pt>
                <c:pt idx="2">
                  <c:v>0.17237687366167023</c:v>
                </c:pt>
                <c:pt idx="3">
                  <c:v>0.19773019271948608</c:v>
                </c:pt>
                <c:pt idx="4">
                  <c:v>0.25567451820128478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57-49E6-A4D0-97B967C3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54639"/>
        <c:axId val="419727471"/>
      </c:scatterChart>
      <c:valAx>
        <c:axId val="555954639"/>
        <c:scaling>
          <c:orientation val="minMax"/>
          <c:min val="1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/>
                  <a:t>Deformation </a:t>
                </a:r>
                <a:r>
                  <a:rPr lang="el-G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ε</a:t>
                </a:r>
                <a:endParaRPr lang="fr-FR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9727471"/>
        <c:crosses val="autoZero"/>
        <c:crossBetween val="midCat"/>
      </c:valAx>
      <c:valAx>
        <c:axId val="4197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ΔR/R0</a:t>
                </a:r>
                <a:endParaRPr lang="fr-FR" sz="140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595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'5B tension'!#REF!</c:f>
            </c:numRef>
          </c:xVal>
          <c:yVal>
            <c:numRef>
              <c:f>'5B tension'!$F$3:$F$7</c:f>
              <c:numCache>
                <c:formatCode>General</c:formatCode>
                <c:ptCount val="5"/>
                <c:pt idx="0">
                  <c:v>5.4196581196581196E-2</c:v>
                </c:pt>
                <c:pt idx="1">
                  <c:v>6.5572649572649577E-2</c:v>
                </c:pt>
                <c:pt idx="2">
                  <c:v>7.4170940170940169E-2</c:v>
                </c:pt>
                <c:pt idx="3">
                  <c:v>8.8888888888888892E-2</c:v>
                </c:pt>
                <c:pt idx="4">
                  <c:v>9.4837606837606836E-2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E-4A75-8C3E-22E05CA3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84143"/>
        <c:axId val="415885103"/>
      </c:scatterChart>
      <c:valAx>
        <c:axId val="41588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85103"/>
        <c:crosses val="autoZero"/>
        <c:crossBetween val="midCat"/>
      </c:valAx>
      <c:valAx>
        <c:axId val="4158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8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'HB tension'!$F$1</c:f>
              <c:strCache>
                <c:ptCount val="1"/>
                <c:pt idx="0">
                  <c:v>|R|/R0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'HB tension'!$C$3:$C$4</c:f>
              <c:numCache>
                <c:formatCode>0.00E+00</c:formatCode>
                <c:ptCount val="2"/>
                <c:pt idx="0">
                  <c:v>2.1099999999999999E-3</c:v>
                </c:pt>
                <c:pt idx="1">
                  <c:v>2.7100000000000002E-3</c:v>
                </c:pt>
              </c:numCache>
            </c:numRef>
          </c:xVal>
          <c:yVal>
            <c:numRef>
              <c:f>'HB tension'!$F$3:$F$6</c:f>
              <c:numCache>
                <c:formatCode>General</c:formatCode>
                <c:ptCount val="4"/>
                <c:pt idx="0">
                  <c:v>0.12740899357601712</c:v>
                </c:pt>
                <c:pt idx="1">
                  <c:v>0.14860813704496789</c:v>
                </c:pt>
                <c:pt idx="2">
                  <c:v>0.17237687366167023</c:v>
                </c:pt>
                <c:pt idx="3">
                  <c:v>0.19773019271948608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4-4B3B-A043-EA1BA8358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882879"/>
        <c:axId val="408884799"/>
      </c:scatterChart>
      <c:valAx>
        <c:axId val="40888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884799"/>
        <c:crosses val="autoZero"/>
        <c:crossBetween val="midCat"/>
      </c:valAx>
      <c:valAx>
        <c:axId val="4088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88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Relative change in resistance with respect to sensor deformation in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143622805301399"/>
          <c:y val="0.20912026332454603"/>
          <c:w val="0.55107515776351168"/>
          <c:h val="0.66091472950232744"/>
        </c:manualLayout>
      </c:layout>
      <c:scatterChart>
        <c:scatterStyle val="lineMarker"/>
        <c:varyColors val="0"/>
        <c:ser>
          <c:idx val="0"/>
          <c:order val="0"/>
          <c:tx>
            <c:v>4B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('4B compr'!$C$3:$C$4,'4B compr'!$C$6:$C$7)</c:f>
              <c:numCache>
                <c:formatCode>0.00E+00</c:formatCode>
                <c:ptCount val="4"/>
                <c:pt idx="0">
                  <c:v>2.1099999999999999E-3</c:v>
                </c:pt>
                <c:pt idx="1">
                  <c:v>2.3800000000000002E-3</c:v>
                </c:pt>
                <c:pt idx="2">
                  <c:v>3.1700000000000001E-3</c:v>
                </c:pt>
                <c:pt idx="3">
                  <c:v>3.8E-3</c:v>
                </c:pt>
              </c:numCache>
            </c:numRef>
          </c:xVal>
          <c:yVal>
            <c:numRef>
              <c:f>('4B compr'!$F$3:$F$4,'4B compr'!$F$6:$F$7)</c:f>
              <c:numCache>
                <c:formatCode>General</c:formatCode>
                <c:ptCount val="4"/>
                <c:pt idx="0">
                  <c:v>-1.1774877516571287E-2</c:v>
                </c:pt>
                <c:pt idx="1">
                  <c:v>-1.2515953723907942E-2</c:v>
                </c:pt>
                <c:pt idx="2">
                  <c:v>-2.4249660340071637E-2</c:v>
                </c:pt>
                <c:pt idx="3">
                  <c:v>-3.0116513648153487E-2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9-4B9F-B6B5-36EEC4755D03}"/>
            </c:ext>
          </c:extLst>
        </c:ser>
        <c:ser>
          <c:idx val="1"/>
          <c:order val="1"/>
          <c:tx>
            <c:v>5B Compression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compr'!$F$3:$F$8</c:f>
              <c:numCache>
                <c:formatCode>General</c:formatCode>
                <c:ptCount val="6"/>
                <c:pt idx="0">
                  <c:v>-7.8586932115859588E-3</c:v>
                </c:pt>
                <c:pt idx="1">
                  <c:v>-1.0740214055834144E-2</c:v>
                </c:pt>
                <c:pt idx="2">
                  <c:v>-2.0657136441883092E-2</c:v>
                </c:pt>
                <c:pt idx="3">
                  <c:v>-2.7767382680937057E-2</c:v>
                </c:pt>
                <c:pt idx="4">
                  <c:v>-3.5008607140184118E-2</c:v>
                </c:pt>
                <c:pt idx="5">
                  <c:v>-4.9453633710051646E-2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9-4B9F-B6B5-36EEC4755D03}"/>
            </c:ext>
          </c:extLst>
        </c:ser>
        <c:ser>
          <c:idx val="2"/>
          <c:order val="2"/>
          <c:tx>
            <c:v>HB Compression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'HB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'HB compr'!$F$3:$F$8</c:f>
              <c:numCache>
                <c:formatCode>General</c:formatCode>
                <c:ptCount val="6"/>
                <c:pt idx="0">
                  <c:v>-1.641025641025641E-2</c:v>
                </c:pt>
                <c:pt idx="1">
                  <c:v>-3.2324786324786324E-2</c:v>
                </c:pt>
                <c:pt idx="2">
                  <c:v>-3.3490598290598292E-2</c:v>
                </c:pt>
                <c:pt idx="3">
                  <c:v>-3.433846153846154E-2</c:v>
                </c:pt>
                <c:pt idx="4">
                  <c:v>-4.0989743589743589E-2</c:v>
                </c:pt>
                <c:pt idx="5">
                  <c:v>-6.2745299145299152E-2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89-4B9F-B6B5-36EEC4755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27520"/>
        <c:axId val="1258316000"/>
      </c:scatterChart>
      <c:valAx>
        <c:axId val="125832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Deformation </a:t>
                </a:r>
                <a:r>
                  <a:rPr lang="el-G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ε</a:t>
                </a:r>
                <a:endParaRPr lang="fr-FR" sz="14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16000"/>
        <c:crosses val="autoZero"/>
        <c:crossBetween val="midCat"/>
      </c:valAx>
      <c:valAx>
        <c:axId val="12583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i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ΔR/R0</a:t>
                </a:r>
                <a:endParaRPr lang="fr-FR" sz="14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2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6701662292209E-2"/>
          <c:y val="0.17171296296296296"/>
          <c:w val="0.6242169728783901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v>5B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'5B compr'!$C$3:$C$8</c:f>
              <c:numCache>
                <c:formatCode>0.00E+00</c:formatCode>
                <c:ptCount val="6"/>
                <c:pt idx="0">
                  <c:v>2.1099999999999999E-3</c:v>
                </c:pt>
                <c:pt idx="1">
                  <c:v>2.3800000000000002E-3</c:v>
                </c:pt>
                <c:pt idx="2">
                  <c:v>2.7100000000000002E-3</c:v>
                </c:pt>
                <c:pt idx="3">
                  <c:v>3.1700000000000001E-3</c:v>
                </c:pt>
                <c:pt idx="4">
                  <c:v>3.8E-3</c:v>
                </c:pt>
                <c:pt idx="5">
                  <c:v>4.7499999999999999E-3</c:v>
                </c:pt>
              </c:numCache>
            </c:numRef>
          </c:xVal>
          <c:yVal>
            <c:numRef>
              <c:f>'5B compr'!$F$3:$F$8</c:f>
              <c:numCache>
                <c:formatCode>General</c:formatCode>
                <c:ptCount val="6"/>
                <c:pt idx="0">
                  <c:v>-7.8586932115859588E-3</c:v>
                </c:pt>
                <c:pt idx="1">
                  <c:v>-1.0740214055834144E-2</c:v>
                </c:pt>
                <c:pt idx="2">
                  <c:v>-2.0657136441883092E-2</c:v>
                </c:pt>
                <c:pt idx="3">
                  <c:v>-2.7767382680937057E-2</c:v>
                </c:pt>
                <c:pt idx="4">
                  <c:v>-3.5008607140184118E-2</c:v>
                </c:pt>
                <c:pt idx="5">
                  <c:v>-4.9453633710051646E-2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ED-4BCD-BF47-0450E98C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35200"/>
        <c:axId val="1258349120"/>
      </c:scatterChart>
      <c:valAx>
        <c:axId val="125833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49120"/>
        <c:crosses val="autoZero"/>
        <c:crossBetween val="midCat"/>
      </c:valAx>
      <c:valAx>
        <c:axId val="12583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818000874890644"/>
          <c:y val="0.46432742782152231"/>
          <c:w val="0.23515332458442695"/>
          <c:h val="0.224539224263633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 Compression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('HB compr'!$C$3,'HB compr'!$C$4,'HB compr'!$C$6,'HB compr'!$C$8)</c:f>
              <c:numCache>
                <c:formatCode>0.00E+00</c:formatCode>
                <c:ptCount val="4"/>
                <c:pt idx="0">
                  <c:v>2.1099999999999999E-3</c:v>
                </c:pt>
                <c:pt idx="1">
                  <c:v>2.3800000000000002E-3</c:v>
                </c:pt>
                <c:pt idx="2">
                  <c:v>3.1700000000000001E-3</c:v>
                </c:pt>
                <c:pt idx="3">
                  <c:v>4.7499999999999999E-3</c:v>
                </c:pt>
              </c:numCache>
            </c:numRef>
          </c:xVal>
          <c:yVal>
            <c:numRef>
              <c:f>('HB compr'!$F$3,'HB compr'!$F$4,'HB compr'!$F$6,'HB compr'!$F$8)</c:f>
              <c:numCache>
                <c:formatCode>General</c:formatCode>
                <c:ptCount val="4"/>
                <c:pt idx="0">
                  <c:v>-1.641025641025641E-2</c:v>
                </c:pt>
                <c:pt idx="1">
                  <c:v>-3.2324786324786324E-2</c:v>
                </c:pt>
                <c:pt idx="2">
                  <c:v>-3.433846153846154E-2</c:v>
                </c:pt>
                <c:pt idx="3">
                  <c:v>-6.2745299145299152E-2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1-478A-88AC-930C9A0B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352480"/>
        <c:axId val="1258352960"/>
      </c:scatterChart>
      <c:valAx>
        <c:axId val="125835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52960"/>
        <c:crosses val="autoZero"/>
        <c:crossBetween val="midCat"/>
      </c:valAx>
      <c:valAx>
        <c:axId val="12583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35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10</xdr:row>
      <xdr:rowOff>76200</xdr:rowOff>
    </xdr:from>
    <xdr:to>
      <xdr:col>5</xdr:col>
      <xdr:colOff>160020</xdr:colOff>
      <xdr:row>24</xdr:row>
      <xdr:rowOff>121920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65B00E6-E4E9-8086-C2E7-18A61F30A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7</xdr:row>
      <xdr:rowOff>137160</xdr:rowOff>
    </xdr:from>
    <xdr:to>
      <xdr:col>12</xdr:col>
      <xdr:colOff>213360</xdr:colOff>
      <xdr:row>22</xdr:row>
      <xdr:rowOff>137160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38F2A7-F127-76A5-375B-39D6D2771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1493520</xdr:colOff>
      <xdr:row>11</xdr:row>
      <xdr:rowOff>152400</xdr:rowOff>
    </xdr:from>
    <xdr:to>
      <xdr:col>4</xdr:col>
      <xdr:colOff>640080</xdr:colOff>
      <xdr:row>26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399149E-DA6C-1B45-91BD-CFB47109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2150197</xdr:colOff>
      <xdr:row>10</xdr:row>
      <xdr:rowOff>72767</xdr:rowOff>
    </xdr:from>
    <xdr:to>
      <xdr:col>7</xdr:col>
      <xdr:colOff>356932</xdr:colOff>
      <xdr:row>26</xdr:row>
      <xdr:rowOff>67901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4C776E-83D8-239D-A2B7-8F6239D5B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10</xdr:row>
      <xdr:rowOff>34290</xdr:rowOff>
    </xdr:from>
    <xdr:to>
      <xdr:col>8</xdr:col>
      <xdr:colOff>335280</xdr:colOff>
      <xdr:row>25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DD7596-63FF-3453-8020-108732AE3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10</xdr:row>
      <xdr:rowOff>163830</xdr:rowOff>
    </xdr:from>
    <xdr:to>
      <xdr:col>6</xdr:col>
      <xdr:colOff>762000</xdr:colOff>
      <xdr:row>25</xdr:row>
      <xdr:rowOff>163830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896F0C-A3D4-FE4A-E07E-A6EA2286C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2F5E-7161-4D89-87DD-CF750AB5055C}">
  <dimension ref="A1:F8"/>
  <sheetViews>
    <sheetView workbookViewId="0">
      <selection activeCell="K16" sqref="K16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5</v>
      </c>
    </row>
    <row r="2" spans="1:6" x14ac:dyDescent="0.3">
      <c r="A2" t="s">
        <v>4</v>
      </c>
      <c r="B2" t="s">
        <v>9</v>
      </c>
      <c r="C2">
        <v>0</v>
      </c>
      <c r="D2">
        <v>27209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27338</v>
      </c>
      <c r="E3">
        <f>D3-$D$2</f>
        <v>129</v>
      </c>
      <c r="F3">
        <f>E3/$D$2</f>
        <v>4.7410783196736375E-3</v>
      </c>
    </row>
    <row r="4" spans="1:6" x14ac:dyDescent="0.3">
      <c r="A4">
        <v>2</v>
      </c>
      <c r="B4">
        <v>0.04</v>
      </c>
      <c r="C4" s="3">
        <v>2.3800000000000002E-3</v>
      </c>
      <c r="D4">
        <v>27449</v>
      </c>
      <c r="E4">
        <f>D4-$D$2</f>
        <v>240</v>
      </c>
      <c r="F4">
        <f>E4/$D$2</f>
        <v>8.8206108272997907E-3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27894</v>
      </c>
      <c r="E5">
        <f>D5-$D$2</f>
        <v>685</v>
      </c>
      <c r="F5">
        <f>E5/$D$2</f>
        <v>2.517549340291815E-2</v>
      </c>
    </row>
    <row r="6" spans="1:6" x14ac:dyDescent="0.3">
      <c r="A6">
        <v>4</v>
      </c>
      <c r="B6">
        <v>0.03</v>
      </c>
      <c r="C6" s="3">
        <v>3.1700000000000001E-3</v>
      </c>
      <c r="D6">
        <v>28400</v>
      </c>
      <c r="E6">
        <f>D6-$D$2</f>
        <v>1191</v>
      </c>
      <c r="F6">
        <f>E6/$D$2</f>
        <v>4.3772281230475212E-2</v>
      </c>
    </row>
    <row r="7" spans="1:6" x14ac:dyDescent="0.3">
      <c r="A7">
        <v>5</v>
      </c>
      <c r="B7">
        <v>2.5000000000000001E-2</v>
      </c>
      <c r="C7" s="3">
        <v>3.8E-3</v>
      </c>
      <c r="D7">
        <v>28700</v>
      </c>
      <c r="E7">
        <f>D7-$D$2</f>
        <v>1491</v>
      </c>
      <c r="F7">
        <f>E7/$D$2</f>
        <v>5.479804476459995E-2</v>
      </c>
    </row>
    <row r="8" spans="1:6" x14ac:dyDescent="0.3">
      <c r="A8">
        <v>6</v>
      </c>
      <c r="B8">
        <v>0.02</v>
      </c>
      <c r="C8" s="3">
        <v>4.7499999999999999E-3</v>
      </c>
      <c r="D8">
        <v>29050</v>
      </c>
      <c r="E8">
        <f>D8-$D$2</f>
        <v>1841</v>
      </c>
      <c r="F8">
        <f>E8/$D$2</f>
        <v>6.7661435554412147E-2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BCE9-64D8-4C93-9C27-0CB4AD1314AB}">
  <dimension ref="A1:F8"/>
  <sheetViews>
    <sheetView tabSelected="1" workbookViewId="0">
      <selection activeCell="D8" sqref="D8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 t="s">
        <v>4</v>
      </c>
      <c r="B2">
        <v>1</v>
      </c>
      <c r="C2">
        <v>0</v>
      </c>
      <c r="D2">
        <v>117000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123341</v>
      </c>
      <c r="E3">
        <f>D3-$D$2</f>
        <v>6341</v>
      </c>
      <c r="F3">
        <f>E3/$D$2</f>
        <v>5.4196581196581196E-2</v>
      </c>
    </row>
    <row r="4" spans="1:6" x14ac:dyDescent="0.3">
      <c r="A4">
        <v>2</v>
      </c>
      <c r="B4">
        <v>0.04</v>
      </c>
      <c r="C4" s="3">
        <v>2.3800000000000002E-3</v>
      </c>
      <c r="D4">
        <v>124672</v>
      </c>
      <c r="E4">
        <f>D4-$D$2</f>
        <v>7672</v>
      </c>
      <c r="F4">
        <f>E4/$D$2</f>
        <v>6.5572649572649577E-2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125678</v>
      </c>
      <c r="E5">
        <f>D5-$D$2</f>
        <v>8678</v>
      </c>
      <c r="F5">
        <f>E5/$D$2</f>
        <v>7.4170940170940169E-2</v>
      </c>
    </row>
    <row r="6" spans="1:6" x14ac:dyDescent="0.3">
      <c r="A6">
        <v>4</v>
      </c>
      <c r="B6">
        <v>0.03</v>
      </c>
      <c r="C6" s="3">
        <v>3.1700000000000001E-3</v>
      </c>
      <c r="D6">
        <v>127400</v>
      </c>
      <c r="E6">
        <f>D6-$D$2</f>
        <v>10400</v>
      </c>
      <c r="F6">
        <f>E6/$D$2</f>
        <v>8.8888888888888892E-2</v>
      </c>
    </row>
    <row r="7" spans="1:6" x14ac:dyDescent="0.3">
      <c r="A7">
        <v>5</v>
      </c>
      <c r="B7">
        <v>2.5000000000000001E-2</v>
      </c>
      <c r="C7" s="3">
        <v>3.8E-3</v>
      </c>
      <c r="D7">
        <v>128096</v>
      </c>
      <c r="E7">
        <f>D7-$D$2</f>
        <v>11096</v>
      </c>
      <c r="F7">
        <f>E7/$D$2</f>
        <v>9.4837606837606836E-2</v>
      </c>
    </row>
    <row r="8" spans="1:6" x14ac:dyDescent="0.3">
      <c r="A8">
        <v>6</v>
      </c>
      <c r="B8">
        <v>0.02</v>
      </c>
      <c r="C8" s="3">
        <v>4.7499999999999999E-3</v>
      </c>
      <c r="D8">
        <v>132320</v>
      </c>
      <c r="E8">
        <f>D8-$D$2</f>
        <v>15320</v>
      </c>
      <c r="F8">
        <f>E8/$D$2</f>
        <v>0.13094017094017094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125B-5851-4C8E-A3AF-C4DCB05BA689}">
  <dimension ref="A1:F7"/>
  <sheetViews>
    <sheetView topLeftCell="B1" workbookViewId="0">
      <selection activeCell="I19" sqref="I19"/>
    </sheetView>
  </sheetViews>
  <sheetFormatPr baseColWidth="10" defaultRowHeight="14.4" x14ac:dyDescent="0.3"/>
  <cols>
    <col min="1" max="1" width="33.77734375" bestFit="1" customWidth="1"/>
    <col min="2" max="2" width="19" bestFit="1" customWidth="1"/>
    <col min="3" max="3" width="14.77734375" bestFit="1" customWidth="1"/>
  </cols>
  <sheetData>
    <row r="1" spans="1:6" x14ac:dyDescent="0.3">
      <c r="A1" t="s">
        <v>1</v>
      </c>
      <c r="C1" t="s">
        <v>2</v>
      </c>
      <c r="D1" t="s">
        <v>3</v>
      </c>
      <c r="E1" s="2" t="s">
        <v>6</v>
      </c>
      <c r="F1" t="s">
        <v>0</v>
      </c>
    </row>
    <row r="2" spans="1:6" x14ac:dyDescent="0.3">
      <c r="A2" t="s">
        <v>4</v>
      </c>
      <c r="B2">
        <v>1</v>
      </c>
      <c r="C2">
        <v>0</v>
      </c>
      <c r="D2">
        <v>186800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210600</v>
      </c>
      <c r="E3">
        <f>D3-$D$2</f>
        <v>23800</v>
      </c>
      <c r="F3">
        <f>E3/$D$2</f>
        <v>0.12740899357601712</v>
      </c>
    </row>
    <row r="4" spans="1:6" x14ac:dyDescent="0.3">
      <c r="A4">
        <v>3</v>
      </c>
      <c r="B4">
        <v>3.5000000000000003E-2</v>
      </c>
      <c r="C4" s="3">
        <v>2.7100000000000002E-3</v>
      </c>
      <c r="D4">
        <v>214560</v>
      </c>
      <c r="E4">
        <f>D4-$D$2</f>
        <v>27760</v>
      </c>
      <c r="F4">
        <f>E4/$D$2</f>
        <v>0.14860813704496789</v>
      </c>
    </row>
    <row r="5" spans="1:6" x14ac:dyDescent="0.3">
      <c r="A5">
        <v>4</v>
      </c>
      <c r="B5">
        <v>0.03</v>
      </c>
      <c r="C5" s="3">
        <v>3.1700000000000001E-3</v>
      </c>
      <c r="D5">
        <v>219000</v>
      </c>
      <c r="E5">
        <f>D5-$D$2</f>
        <v>32200</v>
      </c>
      <c r="F5">
        <f>E5/$D$2</f>
        <v>0.17237687366167023</v>
      </c>
    </row>
    <row r="6" spans="1:6" x14ac:dyDescent="0.3">
      <c r="A6">
        <v>5</v>
      </c>
      <c r="B6">
        <v>2.5000000000000001E-2</v>
      </c>
      <c r="C6" s="3">
        <v>3.8E-3</v>
      </c>
      <c r="D6">
        <v>223736</v>
      </c>
      <c r="E6">
        <f>D6-$D$2</f>
        <v>36936</v>
      </c>
      <c r="F6">
        <f>E6/$D$2</f>
        <v>0.19773019271948608</v>
      </c>
    </row>
    <row r="7" spans="1:6" x14ac:dyDescent="0.3">
      <c r="A7" s="1">
        <v>6</v>
      </c>
      <c r="B7">
        <v>0.02</v>
      </c>
      <c r="C7" s="3">
        <v>4.7499999999999999E-3</v>
      </c>
      <c r="D7" s="1">
        <v>234560</v>
      </c>
      <c r="E7">
        <f>D7-$D$2</f>
        <v>47760</v>
      </c>
      <c r="F7">
        <f>E7/$D$2</f>
        <v>0.25567451820128478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4704-9C8A-4370-B3B7-9AB02F7FD6E1}">
  <dimension ref="A1:F8"/>
  <sheetViews>
    <sheetView topLeftCell="B1" zoomScale="113" workbookViewId="0">
      <selection activeCell="J19" sqref="J19"/>
    </sheetView>
  </sheetViews>
  <sheetFormatPr baseColWidth="10" defaultRowHeight="14.4" x14ac:dyDescent="0.3"/>
  <cols>
    <col min="1" max="1" width="33.77734375" bestFit="1" customWidth="1"/>
    <col min="4" max="4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5</v>
      </c>
    </row>
    <row r="2" spans="1:6" x14ac:dyDescent="0.3">
      <c r="A2" t="s">
        <v>4</v>
      </c>
      <c r="B2" t="s">
        <v>9</v>
      </c>
      <c r="C2">
        <v>0</v>
      </c>
      <c r="D2">
        <v>48578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-4.4999999999999998E-2</v>
      </c>
      <c r="C3" s="3">
        <v>2.1099999999999999E-3</v>
      </c>
      <c r="D3">
        <v>48006</v>
      </c>
      <c r="E3">
        <f>D3-$D$2</f>
        <v>-572</v>
      </c>
      <c r="F3">
        <f>E3/$D$2</f>
        <v>-1.1774877516571287E-2</v>
      </c>
    </row>
    <row r="4" spans="1:6" x14ac:dyDescent="0.3">
      <c r="A4">
        <v>2</v>
      </c>
      <c r="B4">
        <v>-0.04</v>
      </c>
      <c r="C4" s="3">
        <v>2.3800000000000002E-3</v>
      </c>
      <c r="D4">
        <v>47970</v>
      </c>
      <c r="E4">
        <f>D4-$D$2</f>
        <v>-608</v>
      </c>
      <c r="F4">
        <f>E4/$D$2</f>
        <v>-1.2515953723907942E-2</v>
      </c>
    </row>
    <row r="5" spans="1:6" x14ac:dyDescent="0.3">
      <c r="A5" s="4">
        <v>3</v>
      </c>
      <c r="B5" s="4">
        <v>-3.5000000000000003E-2</v>
      </c>
      <c r="C5" s="5">
        <v>2.7100000000000002E-3</v>
      </c>
      <c r="D5" s="4">
        <v>47269</v>
      </c>
      <c r="E5" s="4">
        <f>D5-$D$2</f>
        <v>-1309</v>
      </c>
      <c r="F5" s="4">
        <f>E5/$D$2</f>
        <v>-2.6946354316768908E-2</v>
      </c>
    </row>
    <row r="6" spans="1:6" x14ac:dyDescent="0.3">
      <c r="A6">
        <v>4</v>
      </c>
      <c r="B6">
        <v>-0.03</v>
      </c>
      <c r="C6" s="3">
        <v>3.1700000000000001E-3</v>
      </c>
      <c r="D6">
        <v>47400</v>
      </c>
      <c r="E6">
        <f>D6-$D$2</f>
        <v>-1178</v>
      </c>
      <c r="F6">
        <f>E6/$D$2</f>
        <v>-2.4249660340071637E-2</v>
      </c>
    </row>
    <row r="7" spans="1:6" x14ac:dyDescent="0.3">
      <c r="A7">
        <v>5</v>
      </c>
      <c r="B7">
        <v>-2.5000000000000001E-2</v>
      </c>
      <c r="C7" s="3">
        <v>3.8E-3</v>
      </c>
      <c r="D7">
        <v>47115</v>
      </c>
      <c r="E7">
        <f>D7-$D$2</f>
        <v>-1463</v>
      </c>
      <c r="F7">
        <f>E7/$D$2</f>
        <v>-3.0116513648153487E-2</v>
      </c>
    </row>
    <row r="8" spans="1:6" x14ac:dyDescent="0.3">
      <c r="A8" s="4">
        <v>6</v>
      </c>
      <c r="B8" s="4">
        <v>-0.02</v>
      </c>
      <c r="C8" s="5">
        <v>4.7499999999999999E-3</v>
      </c>
      <c r="D8" s="4">
        <v>48387</v>
      </c>
      <c r="E8" s="4">
        <f>D8-$D$2</f>
        <v>-191</v>
      </c>
      <c r="F8" s="4">
        <f>E8/$D$2</f>
        <v>-3.9318209889250277E-3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1FAB-936E-4C77-8731-F3F5C599C03B}">
  <dimension ref="A1:F8"/>
  <sheetViews>
    <sheetView workbookViewId="0">
      <selection activeCell="J9" sqref="J9"/>
    </sheetView>
  </sheetViews>
  <sheetFormatPr baseColWidth="10" defaultRowHeight="14.4" x14ac:dyDescent="0.3"/>
  <cols>
    <col min="1" max="1" width="33.77734375" bestFit="1" customWidth="1"/>
    <col min="4" max="4" width="14.77734375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t="s">
        <v>6</v>
      </c>
      <c r="F1" t="s">
        <v>7</v>
      </c>
    </row>
    <row r="2" spans="1:6" x14ac:dyDescent="0.3">
      <c r="A2" t="s">
        <v>4</v>
      </c>
      <c r="B2">
        <v>1</v>
      </c>
      <c r="C2">
        <v>0</v>
      </c>
      <c r="D2">
        <v>53444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53024</v>
      </c>
      <c r="E3">
        <f>D3-$D$2</f>
        <v>-420</v>
      </c>
      <c r="F3">
        <f>E3/$D$2</f>
        <v>-7.8586932115859588E-3</v>
      </c>
    </row>
    <row r="4" spans="1:6" x14ac:dyDescent="0.3">
      <c r="A4">
        <v>2</v>
      </c>
      <c r="B4">
        <v>0.04</v>
      </c>
      <c r="C4" s="3">
        <v>2.3800000000000002E-3</v>
      </c>
      <c r="D4">
        <v>52870</v>
      </c>
      <c r="E4">
        <f>D4-$D$2</f>
        <v>-574</v>
      </c>
      <c r="F4">
        <f>E4/$D$2</f>
        <v>-1.0740214055834144E-2</v>
      </c>
    </row>
    <row r="5" spans="1:6" x14ac:dyDescent="0.3">
      <c r="A5">
        <v>3</v>
      </c>
      <c r="B5">
        <v>3.5000000000000003E-2</v>
      </c>
      <c r="C5" s="3">
        <v>2.7100000000000002E-3</v>
      </c>
      <c r="D5">
        <v>52340</v>
      </c>
      <c r="E5">
        <f>D5-$D$2</f>
        <v>-1104</v>
      </c>
      <c r="F5">
        <f>E5/$D$2</f>
        <v>-2.0657136441883092E-2</v>
      </c>
    </row>
    <row r="6" spans="1:6" x14ac:dyDescent="0.3">
      <c r="A6">
        <v>4</v>
      </c>
      <c r="B6">
        <v>0.03</v>
      </c>
      <c r="C6" s="3">
        <v>3.1700000000000001E-3</v>
      </c>
      <c r="D6">
        <v>51960</v>
      </c>
      <c r="E6">
        <f>D6-$D$2</f>
        <v>-1484</v>
      </c>
      <c r="F6">
        <f>E6/$D$2</f>
        <v>-2.7767382680937057E-2</v>
      </c>
    </row>
    <row r="7" spans="1:6" x14ac:dyDescent="0.3">
      <c r="A7">
        <v>5</v>
      </c>
      <c r="B7">
        <v>2.5000000000000001E-2</v>
      </c>
      <c r="C7" s="3">
        <v>3.8E-3</v>
      </c>
      <c r="D7">
        <v>51573</v>
      </c>
      <c r="E7">
        <f>D7-$D$2</f>
        <v>-1871</v>
      </c>
      <c r="F7">
        <f>E7/$D$2</f>
        <v>-3.5008607140184118E-2</v>
      </c>
    </row>
    <row r="8" spans="1:6" x14ac:dyDescent="0.3">
      <c r="A8">
        <v>6</v>
      </c>
      <c r="B8">
        <v>0.02</v>
      </c>
      <c r="C8" s="3">
        <v>4.7499999999999999E-3</v>
      </c>
      <c r="D8">
        <v>50801</v>
      </c>
      <c r="E8">
        <f>D8-$D$2</f>
        <v>-2643</v>
      </c>
      <c r="F8">
        <f>E8/$D$2</f>
        <v>-4.9453633710051646E-2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F671-BD54-4778-A3FA-5038C1C49DF3}">
  <dimension ref="A1:F8"/>
  <sheetViews>
    <sheetView workbookViewId="0">
      <selection activeCell="A13" sqref="A13"/>
    </sheetView>
  </sheetViews>
  <sheetFormatPr baseColWidth="10" defaultRowHeight="14.4" x14ac:dyDescent="0.3"/>
  <cols>
    <col min="1" max="1" width="33.77734375" bestFit="1" customWidth="1"/>
    <col min="3" max="3" width="19" bestFit="1" customWidth="1"/>
  </cols>
  <sheetData>
    <row r="1" spans="1:6" x14ac:dyDescent="0.3">
      <c r="A1" t="s">
        <v>1</v>
      </c>
      <c r="B1" t="s">
        <v>8</v>
      </c>
      <c r="C1" t="s">
        <v>2</v>
      </c>
      <c r="D1" t="s">
        <v>3</v>
      </c>
      <c r="E1" s="2" t="s">
        <v>6</v>
      </c>
      <c r="F1" t="s">
        <v>0</v>
      </c>
    </row>
    <row r="2" spans="1:6" x14ac:dyDescent="0.3">
      <c r="A2" t="s">
        <v>4</v>
      </c>
      <c r="B2">
        <v>1</v>
      </c>
      <c r="C2">
        <v>0</v>
      </c>
      <c r="D2">
        <v>585000</v>
      </c>
      <c r="E2">
        <f>D2-$D$2</f>
        <v>0</v>
      </c>
      <c r="F2">
        <f>E2/$D$2</f>
        <v>0</v>
      </c>
    </row>
    <row r="3" spans="1:6" x14ac:dyDescent="0.3">
      <c r="A3">
        <v>1</v>
      </c>
      <c r="B3">
        <v>4.4999999999999998E-2</v>
      </c>
      <c r="C3" s="3">
        <v>2.1099999999999999E-3</v>
      </c>
      <c r="D3">
        <v>575400</v>
      </c>
      <c r="E3">
        <f>D3-$D$2</f>
        <v>-9600</v>
      </c>
      <c r="F3">
        <f>E3/$D$2</f>
        <v>-1.641025641025641E-2</v>
      </c>
    </row>
    <row r="4" spans="1:6" x14ac:dyDescent="0.3">
      <c r="A4">
        <v>2</v>
      </c>
      <c r="B4">
        <v>0.04</v>
      </c>
      <c r="C4" s="3">
        <v>2.3800000000000002E-3</v>
      </c>
      <c r="D4">
        <v>566090</v>
      </c>
      <c r="E4">
        <f>D4-$D$2</f>
        <v>-18910</v>
      </c>
      <c r="F4">
        <f>E4/$D$2</f>
        <v>-3.2324786324786324E-2</v>
      </c>
    </row>
    <row r="5" spans="1:6" x14ac:dyDescent="0.3">
      <c r="A5" s="4">
        <v>3</v>
      </c>
      <c r="B5" s="4">
        <v>3.5000000000000003E-2</v>
      </c>
      <c r="C5" s="5">
        <v>2.7100000000000002E-3</v>
      </c>
      <c r="D5" s="4">
        <v>565408</v>
      </c>
      <c r="E5" s="4">
        <f>D5-$D$2</f>
        <v>-19592</v>
      </c>
      <c r="F5" s="4">
        <f>E5/$D$2</f>
        <v>-3.3490598290598292E-2</v>
      </c>
    </row>
    <row r="6" spans="1:6" x14ac:dyDescent="0.3">
      <c r="A6">
        <v>4</v>
      </c>
      <c r="B6">
        <v>0.03</v>
      </c>
      <c r="C6" s="3">
        <v>3.1700000000000001E-3</v>
      </c>
      <c r="D6">
        <v>564912</v>
      </c>
      <c r="E6">
        <f>D6-$D$2</f>
        <v>-20088</v>
      </c>
      <c r="F6">
        <f>E6/$D$2</f>
        <v>-3.433846153846154E-2</v>
      </c>
    </row>
    <row r="7" spans="1:6" x14ac:dyDescent="0.3">
      <c r="A7" s="6">
        <v>5</v>
      </c>
      <c r="B7" s="4">
        <v>2.5000000000000001E-2</v>
      </c>
      <c r="C7" s="5">
        <v>3.8E-3</v>
      </c>
      <c r="D7" s="6">
        <v>561021</v>
      </c>
      <c r="E7" s="4">
        <f>D7-$D$2</f>
        <v>-23979</v>
      </c>
      <c r="F7" s="4">
        <f>E7/$D$2</f>
        <v>-4.0989743589743589E-2</v>
      </c>
    </row>
    <row r="8" spans="1:6" x14ac:dyDescent="0.3">
      <c r="A8">
        <v>6</v>
      </c>
      <c r="B8">
        <v>0.02</v>
      </c>
      <c r="C8" s="3">
        <v>4.7499999999999999E-3</v>
      </c>
      <c r="D8">
        <v>548294</v>
      </c>
      <c r="E8">
        <f>D8-$D$2</f>
        <v>-36706</v>
      </c>
      <c r="F8">
        <f>E8/$D$2</f>
        <v>-6.2745299145299152E-2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4B tension</vt:lpstr>
      <vt:lpstr>5B tension</vt:lpstr>
      <vt:lpstr>HB tension</vt:lpstr>
      <vt:lpstr>4B compr</vt:lpstr>
      <vt:lpstr>5B compr</vt:lpstr>
      <vt:lpstr>HB compr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jeandenans</dc:creator>
  <cp:lastModifiedBy>Clara jeandenans</cp:lastModifiedBy>
  <dcterms:created xsi:type="dcterms:W3CDTF">2025-05-06T20:48:41Z</dcterms:created>
  <dcterms:modified xsi:type="dcterms:W3CDTF">2025-05-19T18:08:35Z</dcterms:modified>
</cp:coreProperties>
</file>